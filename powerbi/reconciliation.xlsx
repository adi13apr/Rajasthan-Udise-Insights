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udise-powerbi\powerbi\"/>
    </mc:Choice>
  </mc:AlternateContent>
  <xr:revisionPtr revIDLastSave="0" documentId="13_ncr:1_{5D3CFE8E-EDD9-4C0F-B003-41146CA52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nciliation" sheetId="1" r:id="rId1"/>
    <sheet name="State measures" sheetId="2" r:id="rId2"/>
    <sheet name="District measures" sheetId="3" r:id="rId3"/>
    <sheet name="Checks" sheetId="4" r:id="rId4"/>
    <sheet name="Notes" sheetId="5" r:id="rId5"/>
  </sheets>
  <definedNames>
    <definedName name="_xlnm._FilterDatabase" localSheetId="2" hidden="1">'District measures'!$A$4:$Z$86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6" i="3" l="1"/>
  <c r="Y86" i="3"/>
  <c r="X86" i="3"/>
  <c r="W86" i="3"/>
  <c r="V86" i="3"/>
  <c r="Z85" i="3"/>
  <c r="Y85" i="3"/>
  <c r="X85" i="3"/>
  <c r="W85" i="3"/>
  <c r="V85" i="3"/>
  <c r="Z84" i="3"/>
  <c r="Y84" i="3"/>
  <c r="X84" i="3"/>
  <c r="W84" i="3"/>
  <c r="V84" i="3"/>
  <c r="Z83" i="3"/>
  <c r="Y83" i="3"/>
  <c r="X83" i="3"/>
  <c r="W83" i="3"/>
  <c r="V83" i="3"/>
  <c r="Z82" i="3"/>
  <c r="Y82" i="3"/>
  <c r="X82" i="3"/>
  <c r="W82" i="3"/>
  <c r="V82" i="3"/>
  <c r="Z81" i="3"/>
  <c r="Y81" i="3"/>
  <c r="X81" i="3"/>
  <c r="W81" i="3"/>
  <c r="V81" i="3"/>
  <c r="Z80" i="3"/>
  <c r="Y80" i="3"/>
  <c r="X80" i="3"/>
  <c r="W80" i="3"/>
  <c r="V80" i="3"/>
  <c r="Z79" i="3"/>
  <c r="Y79" i="3"/>
  <c r="X79" i="3"/>
  <c r="W79" i="3"/>
  <c r="V79" i="3"/>
  <c r="Z78" i="3"/>
  <c r="Y78" i="3"/>
  <c r="X78" i="3"/>
  <c r="W78" i="3"/>
  <c r="V78" i="3"/>
  <c r="Z77" i="3"/>
  <c r="Y77" i="3"/>
  <c r="X77" i="3"/>
  <c r="W77" i="3"/>
  <c r="V77" i="3"/>
  <c r="Z76" i="3"/>
  <c r="Y76" i="3"/>
  <c r="X76" i="3"/>
  <c r="W76" i="3"/>
  <c r="V76" i="3"/>
  <c r="Z75" i="3"/>
  <c r="Y75" i="3"/>
  <c r="X75" i="3"/>
  <c r="W75" i="3"/>
  <c r="V75" i="3"/>
  <c r="Z74" i="3"/>
  <c r="Y74" i="3"/>
  <c r="X74" i="3"/>
  <c r="W74" i="3"/>
  <c r="V74" i="3"/>
  <c r="Z73" i="3"/>
  <c r="Y73" i="3"/>
  <c r="X73" i="3"/>
  <c r="W73" i="3"/>
  <c r="V73" i="3"/>
  <c r="Z72" i="3"/>
  <c r="Y72" i="3"/>
  <c r="X72" i="3"/>
  <c r="W72" i="3"/>
  <c r="V72" i="3"/>
  <c r="Z71" i="3"/>
  <c r="Y71" i="3"/>
  <c r="X71" i="3"/>
  <c r="W71" i="3"/>
  <c r="V71" i="3"/>
  <c r="Z70" i="3"/>
  <c r="Y70" i="3"/>
  <c r="X70" i="3"/>
  <c r="W70" i="3"/>
  <c r="V70" i="3"/>
  <c r="Z69" i="3"/>
  <c r="Y69" i="3"/>
  <c r="X69" i="3"/>
  <c r="W69" i="3"/>
  <c r="V69" i="3"/>
  <c r="Z68" i="3"/>
  <c r="Y68" i="3"/>
  <c r="X68" i="3"/>
  <c r="W68" i="3"/>
  <c r="V68" i="3"/>
  <c r="Z67" i="3"/>
  <c r="Y67" i="3"/>
  <c r="X67" i="3"/>
  <c r="W67" i="3"/>
  <c r="V67" i="3"/>
  <c r="Z66" i="3"/>
  <c r="Y66" i="3"/>
  <c r="X66" i="3"/>
  <c r="W66" i="3"/>
  <c r="V66" i="3"/>
  <c r="Z65" i="3"/>
  <c r="Y65" i="3"/>
  <c r="X65" i="3"/>
  <c r="W65" i="3"/>
  <c r="V65" i="3"/>
  <c r="Z64" i="3"/>
  <c r="Y64" i="3"/>
  <c r="X64" i="3"/>
  <c r="W64" i="3"/>
  <c r="V64" i="3"/>
  <c r="Z63" i="3"/>
  <c r="Y63" i="3"/>
  <c r="X63" i="3"/>
  <c r="W63" i="3"/>
  <c r="V63" i="3"/>
  <c r="Z62" i="3"/>
  <c r="Y62" i="3"/>
  <c r="X62" i="3"/>
  <c r="W62" i="3"/>
  <c r="V62" i="3"/>
  <c r="Z61" i="3"/>
  <c r="Y61" i="3"/>
  <c r="X61" i="3"/>
  <c r="W61" i="3"/>
  <c r="V61" i="3"/>
  <c r="Z60" i="3"/>
  <c r="Y60" i="3"/>
  <c r="X60" i="3"/>
  <c r="W60" i="3"/>
  <c r="V60" i="3"/>
  <c r="Z59" i="3"/>
  <c r="Y59" i="3"/>
  <c r="X59" i="3"/>
  <c r="W59" i="3"/>
  <c r="V59" i="3"/>
  <c r="Z58" i="3"/>
  <c r="Y58" i="3"/>
  <c r="X58" i="3"/>
  <c r="W58" i="3"/>
  <c r="V58" i="3"/>
  <c r="Z57" i="3"/>
  <c r="Y57" i="3"/>
  <c r="X57" i="3"/>
  <c r="W57" i="3"/>
  <c r="V57" i="3"/>
  <c r="Z56" i="3"/>
  <c r="Y56" i="3"/>
  <c r="X56" i="3"/>
  <c r="W56" i="3"/>
  <c r="V56" i="3"/>
  <c r="Z55" i="3"/>
  <c r="Y55" i="3"/>
  <c r="X55" i="3"/>
  <c r="W55" i="3"/>
  <c r="V55" i="3"/>
  <c r="Z54" i="3"/>
  <c r="Y54" i="3"/>
  <c r="X54" i="3"/>
  <c r="W54" i="3"/>
  <c r="V54" i="3"/>
  <c r="Z53" i="3"/>
  <c r="Y53" i="3"/>
  <c r="X53" i="3"/>
  <c r="W53" i="3"/>
  <c r="V53" i="3"/>
  <c r="Z52" i="3"/>
  <c r="Y52" i="3"/>
  <c r="X52" i="3"/>
  <c r="W52" i="3"/>
  <c r="V52" i="3"/>
  <c r="Z51" i="3"/>
  <c r="Y51" i="3"/>
  <c r="X51" i="3"/>
  <c r="W51" i="3"/>
  <c r="V51" i="3"/>
  <c r="Z50" i="3"/>
  <c r="Y50" i="3"/>
  <c r="X50" i="3"/>
  <c r="W50" i="3"/>
  <c r="V50" i="3"/>
  <c r="Z49" i="3"/>
  <c r="Y49" i="3"/>
  <c r="X49" i="3"/>
  <c r="W49" i="3"/>
  <c r="V49" i="3"/>
  <c r="Z48" i="3"/>
  <c r="Y48" i="3"/>
  <c r="X48" i="3"/>
  <c r="W48" i="3"/>
  <c r="V48" i="3"/>
  <c r="Z47" i="3"/>
  <c r="Y47" i="3"/>
  <c r="X47" i="3"/>
  <c r="W47" i="3"/>
  <c r="V47" i="3"/>
  <c r="Z46" i="3"/>
  <c r="Y46" i="3"/>
  <c r="X46" i="3"/>
  <c r="W46" i="3"/>
  <c r="V46" i="3"/>
  <c r="Z45" i="3"/>
  <c r="Y45" i="3"/>
  <c r="X45" i="3"/>
  <c r="W45" i="3"/>
  <c r="V45" i="3"/>
  <c r="Z44" i="3"/>
  <c r="Y44" i="3"/>
  <c r="X44" i="3"/>
  <c r="W44" i="3"/>
  <c r="V44" i="3"/>
  <c r="Z43" i="3"/>
  <c r="Y43" i="3"/>
  <c r="X43" i="3"/>
  <c r="W43" i="3"/>
  <c r="V43" i="3"/>
  <c r="Z42" i="3"/>
  <c r="Y42" i="3"/>
  <c r="X42" i="3"/>
  <c r="W42" i="3"/>
  <c r="V42" i="3"/>
  <c r="Z41" i="3"/>
  <c r="Y41" i="3"/>
  <c r="X41" i="3"/>
  <c r="W41" i="3"/>
  <c r="V41" i="3"/>
  <c r="Z40" i="3"/>
  <c r="Y40" i="3"/>
  <c r="X40" i="3"/>
  <c r="W40" i="3"/>
  <c r="V40" i="3"/>
  <c r="Z39" i="3"/>
  <c r="Y39" i="3"/>
  <c r="X39" i="3"/>
  <c r="W39" i="3"/>
  <c r="V39" i="3"/>
  <c r="Z38" i="3"/>
  <c r="Y38" i="3"/>
  <c r="X38" i="3"/>
  <c r="W38" i="3"/>
  <c r="V38" i="3"/>
  <c r="Z37" i="3"/>
  <c r="Y37" i="3"/>
  <c r="X37" i="3"/>
  <c r="W37" i="3"/>
  <c r="V37" i="3"/>
  <c r="Z36" i="3"/>
  <c r="Y36" i="3"/>
  <c r="X36" i="3"/>
  <c r="W36" i="3"/>
  <c r="V36" i="3"/>
  <c r="Z35" i="3"/>
  <c r="Y35" i="3"/>
  <c r="X35" i="3"/>
  <c r="W35" i="3"/>
  <c r="V35" i="3"/>
  <c r="Z34" i="3"/>
  <c r="Y34" i="3"/>
  <c r="X34" i="3"/>
  <c r="W34" i="3"/>
  <c r="V34" i="3"/>
  <c r="Z33" i="3"/>
  <c r="Y33" i="3"/>
  <c r="X33" i="3"/>
  <c r="W33" i="3"/>
  <c r="V33" i="3"/>
  <c r="Z32" i="3"/>
  <c r="Y32" i="3"/>
  <c r="X32" i="3"/>
  <c r="W32" i="3"/>
  <c r="V32" i="3"/>
  <c r="Z31" i="3"/>
  <c r="Y31" i="3"/>
  <c r="X31" i="3"/>
  <c r="W31" i="3"/>
  <c r="V31" i="3"/>
  <c r="Z30" i="3"/>
  <c r="Y30" i="3"/>
  <c r="X30" i="3"/>
  <c r="W30" i="3"/>
  <c r="V30" i="3"/>
  <c r="Z29" i="3"/>
  <c r="Y29" i="3"/>
  <c r="X29" i="3"/>
  <c r="W29" i="3"/>
  <c r="V29" i="3"/>
  <c r="Z28" i="3"/>
  <c r="Y28" i="3"/>
  <c r="X28" i="3"/>
  <c r="W28" i="3"/>
  <c r="V28" i="3"/>
  <c r="Z27" i="3"/>
  <c r="Y27" i="3"/>
  <c r="X27" i="3"/>
  <c r="W27" i="3"/>
  <c r="V27" i="3"/>
  <c r="Z26" i="3"/>
  <c r="Y26" i="3"/>
  <c r="X26" i="3"/>
  <c r="W26" i="3"/>
  <c r="V26" i="3"/>
  <c r="Z25" i="3"/>
  <c r="Y25" i="3"/>
  <c r="X25" i="3"/>
  <c r="W25" i="3"/>
  <c r="V25" i="3"/>
  <c r="Z24" i="3"/>
  <c r="Y24" i="3"/>
  <c r="X24" i="3"/>
  <c r="W24" i="3"/>
  <c r="V24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W21" i="3"/>
  <c r="V21" i="3"/>
  <c r="Z20" i="3"/>
  <c r="Y20" i="3"/>
  <c r="X20" i="3"/>
  <c r="W20" i="3"/>
  <c r="V20" i="3"/>
  <c r="Z19" i="3"/>
  <c r="Y19" i="3"/>
  <c r="X19" i="3"/>
  <c r="W19" i="3"/>
  <c r="V19" i="3"/>
  <c r="Z18" i="3"/>
  <c r="Y18" i="3"/>
  <c r="X18" i="3"/>
  <c r="W18" i="3"/>
  <c r="V18" i="3"/>
  <c r="Z17" i="3"/>
  <c r="Y17" i="3"/>
  <c r="X17" i="3"/>
  <c r="W17" i="3"/>
  <c r="V17" i="3"/>
  <c r="Z16" i="3"/>
  <c r="Y16" i="3"/>
  <c r="X16" i="3"/>
  <c r="W16" i="3"/>
  <c r="V16" i="3"/>
  <c r="Z15" i="3"/>
  <c r="Y15" i="3"/>
  <c r="X15" i="3"/>
  <c r="W15" i="3"/>
  <c r="V15" i="3"/>
  <c r="Z14" i="3"/>
  <c r="Y14" i="3"/>
  <c r="X14" i="3"/>
  <c r="W14" i="3"/>
  <c r="V14" i="3"/>
  <c r="Z13" i="3"/>
  <c r="Y13" i="3"/>
  <c r="X13" i="3"/>
  <c r="W13" i="3"/>
  <c r="V13" i="3"/>
  <c r="Z12" i="3"/>
  <c r="Y12" i="3"/>
  <c r="X12" i="3"/>
  <c r="W12" i="3"/>
  <c r="V12" i="3"/>
  <c r="Z11" i="3"/>
  <c r="Y11" i="3"/>
  <c r="X11" i="3"/>
  <c r="W11" i="3"/>
  <c r="V11" i="3"/>
  <c r="Z10" i="3"/>
  <c r="Y10" i="3"/>
  <c r="X10" i="3"/>
  <c r="W10" i="3"/>
  <c r="V10" i="3"/>
  <c r="Z9" i="3"/>
  <c r="Y9" i="3"/>
  <c r="X9" i="3"/>
  <c r="W9" i="3"/>
  <c r="V9" i="3"/>
  <c r="Z8" i="3"/>
  <c r="Y8" i="3"/>
  <c r="X8" i="3"/>
  <c r="W8" i="3"/>
  <c r="V8" i="3"/>
  <c r="Z7" i="3"/>
  <c r="Y7" i="3"/>
  <c r="X7" i="3"/>
  <c r="W7" i="3"/>
  <c r="V7" i="3"/>
  <c r="Z6" i="3"/>
  <c r="Y6" i="3"/>
  <c r="X6" i="3"/>
  <c r="W6" i="3"/>
  <c r="V6" i="3"/>
  <c r="Z5" i="3"/>
  <c r="Y5" i="3"/>
  <c r="X5" i="3"/>
  <c r="W5" i="3"/>
  <c r="V5" i="3"/>
  <c r="F23" i="2"/>
  <c r="E23" i="2"/>
  <c r="F22" i="2"/>
  <c r="E22" i="2"/>
  <c r="F21" i="2"/>
  <c r="E21" i="2"/>
  <c r="E20" i="2"/>
  <c r="F19" i="2"/>
  <c r="E19" i="2"/>
  <c r="F18" i="2"/>
  <c r="E18" i="2"/>
  <c r="F17" i="2"/>
  <c r="E17" i="2"/>
  <c r="F16" i="2"/>
  <c r="E16" i="2"/>
  <c r="E15" i="2"/>
  <c r="E14" i="2"/>
  <c r="E13" i="2"/>
  <c r="E12" i="2"/>
  <c r="E11" i="2"/>
  <c r="F10" i="2"/>
  <c r="E10" i="2"/>
  <c r="E9" i="2"/>
  <c r="F8" i="2"/>
  <c r="E8" i="2"/>
  <c r="F7" i="2"/>
  <c r="E7" i="2"/>
  <c r="F6" i="2"/>
  <c r="E6" i="2"/>
  <c r="F5" i="2"/>
  <c r="E5" i="2"/>
  <c r="I25" i="1"/>
  <c r="J25" i="1" s="1"/>
  <c r="H25" i="1"/>
  <c r="G25" i="1"/>
  <c r="I24" i="1"/>
  <c r="J24" i="1" s="1"/>
  <c r="H24" i="1"/>
  <c r="G24" i="1"/>
  <c r="I23" i="1"/>
  <c r="J23" i="1" s="1"/>
  <c r="H23" i="1"/>
  <c r="G23" i="1"/>
  <c r="I22" i="1"/>
  <c r="J22" i="1" s="1"/>
  <c r="H22" i="1"/>
  <c r="G22" i="1"/>
  <c r="I21" i="1"/>
  <c r="J21" i="1" s="1"/>
  <c r="H21" i="1"/>
  <c r="G21" i="1"/>
  <c r="I20" i="1"/>
  <c r="J20" i="1" s="1"/>
  <c r="H20" i="1"/>
  <c r="G20" i="1"/>
  <c r="I19" i="1"/>
  <c r="J19" i="1" s="1"/>
  <c r="H19" i="1"/>
  <c r="G19" i="1"/>
  <c r="I18" i="1"/>
  <c r="J18" i="1" s="1"/>
  <c r="H18" i="1"/>
  <c r="G18" i="1"/>
  <c r="I17" i="1"/>
  <c r="J17" i="1" s="1"/>
  <c r="H17" i="1"/>
  <c r="G17" i="1"/>
  <c r="I16" i="1"/>
  <c r="J16" i="1" s="1"/>
  <c r="G16" i="1"/>
  <c r="H16" i="1" s="1"/>
  <c r="I15" i="1"/>
  <c r="G15" i="1"/>
  <c r="H15" i="1" s="1"/>
  <c r="I14" i="1"/>
  <c r="J14" i="1" s="1"/>
  <c r="G14" i="1"/>
  <c r="H14" i="1" s="1"/>
  <c r="I13" i="1"/>
  <c r="G13" i="1"/>
  <c r="H13" i="1" s="1"/>
  <c r="I12" i="1"/>
  <c r="J12" i="1" s="1"/>
  <c r="G12" i="1"/>
  <c r="H12" i="1" s="1"/>
  <c r="I11" i="1"/>
  <c r="G11" i="1"/>
  <c r="H11" i="1" s="1"/>
  <c r="I10" i="1"/>
  <c r="J10" i="1" s="1"/>
  <c r="H10" i="1"/>
  <c r="G10" i="1"/>
  <c r="I9" i="1"/>
  <c r="J9" i="1" s="1"/>
  <c r="G9" i="1"/>
  <c r="H9" i="1" s="1"/>
  <c r="I8" i="1"/>
  <c r="G8" i="1"/>
  <c r="H8" i="1" s="1"/>
  <c r="B5" i="1"/>
  <c r="D4" i="1"/>
  <c r="J15" i="1" l="1"/>
  <c r="J13" i="1"/>
  <c r="J11" i="1"/>
  <c r="J8" i="1"/>
  <c r="B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pipeline</author>
  </authors>
  <commentList>
    <comment ref="D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Source: UDISE+ 2024-25 report (Table 2.2) and Lok Sabha / Rajya Sabha answers citing UDISE+ for government schools. Enrolment figures include pre-primary.</t>
        </r>
      </text>
    </comment>
    <comment ref="D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Source: UDISE+ 2024-25 report (Table 2.2) and Lok Sabha / Rajya Sabha answers citing UDISE+ for government schools. Enrolment figures include pre-primary.</t>
        </r>
      </text>
    </comment>
    <comment ref="D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Source: UDISE+ 2024-25 report (Table 2.2) and Lok Sabha / Rajya Sabha answers citing UDISE+ for government schools. Enrolment figures include pre-primary.</t>
        </r>
      </text>
    </comment>
    <comment ref="D1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Source: UDISE+ 2024-25 report (Table 2.2) and Lok Sabha / Rajya Sabha answers citing UDISE+ for government schools. Enrolment figures include pre-primary.</t>
        </r>
      </text>
    </comment>
    <comment ref="D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Source: UDISE+ 2024-25 report (Table 2.2) and Lok Sabha / Rajya Sabha answers citing UDISE+ for government schools. Enrolment figures include pre-primary.</t>
        </r>
      </text>
    </comment>
    <comment ref="D1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Source: UDISE+ 2024-25 report (Table 2.2) and Lok Sabha / Rajya Sabha answers citing UDISE+ for government schools. Enrolment figures include pre-primary.</t>
        </r>
      </text>
    </comment>
    <comment ref="D1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Source: UDISE+ 2024-25 report (Table 2.2) and Lok Sabha / Rajya Sabha answers citing UDISE+ for government schools. Enrolment figures include pre-primary.</t>
        </r>
      </text>
    </comment>
    <comment ref="D16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Source: UDISE+ 2024-25 report (Table 2.2) and Lok Sabha / Rajya Sabha answers citing UDISE+ for government schools. Enrolment figures include pre-primary.</t>
        </r>
      </text>
    </comment>
  </commentList>
</comments>
</file>

<file path=xl/sharedStrings.xml><?xml version="1.0" encoding="utf-8"?>
<sst xmlns="http://schemas.openxmlformats.org/spreadsheetml/2006/main" count="393" uniqueCount="193">
  <si>
    <t>Reconciliation: pipeline totals vs official UDISE+ figures, Rajasthan</t>
  </si>
  <si>
    <t>Source: UDISE+, Ministry of Education, Government of India.</t>
  </si>
  <si>
    <t>Exact matches</t>
  </si>
  <si>
    <t>of published figures</t>
  </si>
  <si>
    <t>Blue = values written by the script (official figures, pipeline results). Black = Excel formulas.</t>
  </si>
  <si>
    <t>Export differs from gold</t>
  </si>
  <si>
    <t>Year</t>
  </si>
  <si>
    <t>Indicator</t>
  </si>
  <si>
    <t>Description</t>
  </si>
  <si>
    <t>Official</t>
  </si>
  <si>
    <t>Pipeline (gold DB)</t>
  </si>
  <si>
    <t>Power BI CSVs</t>
  </si>
  <si>
    <t>Difference (pipeline - official)</t>
  </si>
  <si>
    <t>% difference</t>
  </si>
  <si>
    <t>CSV - gold</t>
  </si>
  <si>
    <t>Result</t>
  </si>
  <si>
    <t>2024-25</t>
  </si>
  <si>
    <t>schools</t>
  </si>
  <si>
    <t>Schools</t>
  </si>
  <si>
    <t>enrolment</t>
  </si>
  <si>
    <t>Enrolment incl. pre-primary</t>
  </si>
  <si>
    <t>enrolment_classes_1_12</t>
  </si>
  <si>
    <t>Enrolment, classes 1-12</t>
  </si>
  <si>
    <t>teachers</t>
  </si>
  <si>
    <t>Teachers</t>
  </si>
  <si>
    <t>single_teacher_schools</t>
  </si>
  <si>
    <t>Single-teacher schools</t>
  </si>
  <si>
    <t>zero_enrolment_schools</t>
  </si>
  <si>
    <t>Zero-enrolment schools</t>
  </si>
  <si>
    <t>govt_schools</t>
  </si>
  <si>
    <t>Government schools</t>
  </si>
  <si>
    <t>govt_enrolment</t>
  </si>
  <si>
    <t>Government enrolment incl. pre-primary</t>
  </si>
  <si>
    <t>govt_teachers</t>
  </si>
  <si>
    <t>Government teachers</t>
  </si>
  <si>
    <t>2025-26</t>
  </si>
  <si>
    <t>Enrolment includes pre-primary, as published. Government = management groups marked government in reference/management_codes.json. 2025-26 has no published figure yet.</t>
  </si>
  <si>
    <t>Expected values of the DAX measures, Rajasthan (state level)</t>
  </si>
  <si>
    <t>Computed in SQL over the exported CSVs (sql/powerbi/check_district_measures.sql). In Power BI, a card with the measure and only the year filtered should show this value.</t>
  </si>
  <si>
    <t>DAX measure (MEASURES.md)</t>
  </si>
  <si>
    <t>Column in check SQL</t>
  </si>
  <si>
    <t>Change</t>
  </si>
  <si>
    <t>Change %</t>
  </si>
  <si>
    <t>Schools with Students</t>
  </si>
  <si>
    <t>schools_with_students</t>
  </si>
  <si>
    <t>Enrolment 1-12</t>
  </si>
  <si>
    <t>enrolment_1_12</t>
  </si>
  <si>
    <t>Teachers (schools with students)</t>
  </si>
  <si>
    <t>PTR</t>
  </si>
  <si>
    <t>ptr</t>
  </si>
  <si>
    <t>Single-Teacher Schools %</t>
  </si>
  <si>
    <t>pct_single_teacher</t>
  </si>
  <si>
    <t>Infrastructure Index</t>
  </si>
  <si>
    <t>avg_infra_index</t>
  </si>
  <si>
    <t>Girls' Share 1-12</t>
  </si>
  <si>
    <t>girls_share</t>
  </si>
  <si>
    <t>Girls' Retention Gap</t>
  </si>
  <si>
    <t>girls_retention_gap</t>
  </si>
  <si>
    <t>% Schools with Electricity</t>
  </si>
  <si>
    <t>pct_has_electricity</t>
  </si>
  <si>
    <t>% Schools with Safe Water</t>
  </si>
  <si>
    <t>pct_has_safe_water</t>
  </si>
  <si>
    <t>% Schools with Girls' Toilet</t>
  </si>
  <si>
    <t>pct_has_girls_toilet</t>
  </si>
  <si>
    <t>Teachers Required (Norm)</t>
  </si>
  <si>
    <t>teachers_required</t>
  </si>
  <si>
    <t>Teacher Shortfall</t>
  </si>
  <si>
    <t>teacher_shortfall</t>
  </si>
  <si>
    <t>Teacher Surplus</t>
  </si>
  <si>
    <t>teacher_surplus</t>
  </si>
  <si>
    <t>Net Teacher Gap</t>
  </si>
  <si>
    <t>net_teacher_gap</t>
  </si>
  <si>
    <t>Teacher Shortfall %</t>
  </si>
  <si>
    <t>teacher_shortfall_pct</t>
  </si>
  <si>
    <t>Schools Short of Teachers</t>
  </si>
  <si>
    <t>schools_short_of_teachers</t>
  </si>
  <si>
    <t>Classroom Shortfall</t>
  </si>
  <si>
    <t>classroom_shortfall</t>
  </si>
  <si>
    <t>Classroom Shortfall (Usable Rooms)</t>
  </si>
  <si>
    <t>classroom_shortfall_usable</t>
  </si>
  <si>
    <t>Change = 2025-26 minus 2024-25 (the YoY measures). For % measures the change is in percentage points. District indicators count only schools with students in classes 1-12.</t>
  </si>
  <si>
    <t>Expected values of the DAX measures, by district and year</t>
  </si>
  <si>
    <t>Columns marked 'vs state' are formulas: district value minus the state value of the same year (sheet State measures), as the 'vs State' DAX measures.</t>
  </si>
  <si>
    <t>District</t>
  </si>
  <si>
    <t>PTR vs state</t>
  </si>
  <si>
    <t>Single-Teacher Schools % vs state</t>
  </si>
  <si>
    <t>Infrastructure Index vs state</t>
  </si>
  <si>
    <t>Girls' Share 1-12 vs state</t>
  </si>
  <si>
    <t>Teacher Shortfall % vs state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</si>
  <si>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</si>
  <si>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</si>
  <si>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</si>
  <si>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</si>
  <si>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</si>
  <si>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</si>
  <si>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</si>
  <si>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</si>
  <si>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</si>
  <si>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</si>
  <si>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</si>
  <si>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</si>
  <si>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</si>
  <si>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</si>
  <si>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</si>
  <si>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</si>
  <si>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</si>
  <si>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</si>
  <si>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</si>
  <si>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</si>
  <si>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</si>
  <si>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</si>
  <si>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</si>
  <si>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</si>
  <si>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</si>
  <si>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</si>
  <si>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</si>
  <si>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</si>
  <si>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</si>
  <si>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</si>
  <si>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</si>
  <si>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</si>
  <si>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</si>
  <si>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</si>
  <si>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</si>
  <si>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</si>
  <si>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</si>
  <si>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</si>
  <si>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</si>
  <si>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</si>
  <si>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</si>
  <si>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Automated checks run by scripts/make_reconciliation_workbook.py</t>
  </si>
  <si>
    <t>The script stops with exit code 1 if any check fails.</t>
  </si>
  <si>
    <t>Check</t>
  </si>
  <si>
    <t>Detail</t>
  </si>
  <si>
    <t>Rows in dim_year.csv = rows in gold</t>
  </si>
  <si>
    <t>PASS</t>
  </si>
  <si>
    <t>2 in CSV, 2 in gold</t>
  </si>
  <si>
    <t>Rows in dim_district.csv = rows in gold</t>
  </si>
  <si>
    <t>41 in CSV, 41 in gold</t>
  </si>
  <si>
    <t>Rows in dim_management.csv = rows in gold</t>
  </si>
  <si>
    <t>14 in CSV, 14 in gold</t>
  </si>
  <si>
    <t>Rows in dim_grade.csv = rows in gold</t>
  </si>
  <si>
    <t>13 in CSV, 13 in gold</t>
  </si>
  <si>
    <t>Rows in dim_gender.csv = rows in gold</t>
  </si>
  <si>
    <t>3 in CSV, 3 in gold</t>
  </si>
  <si>
    <t>Rows in dim_social_category.csv = rows in gold</t>
  </si>
  <si>
    <t>4 in CSV, 4 in gold</t>
  </si>
  <si>
    <t>Rows in dim_school.csv = rows in gold</t>
  </si>
  <si>
    <t>109,037 in CSV, 109,037 in gold</t>
  </si>
  <si>
    <t>Rows in fact_enrolment.csv = rows in gold</t>
  </si>
  <si>
    <t>6,403,516 in CSV, 6,403,516 in gold</t>
  </si>
  <si>
    <t>Rows in fact_teachers.csv = rows in gold</t>
  </si>
  <si>
    <t>212,747 in CSV, 212,747 in gold</t>
  </si>
  <si>
    <t>Rows in fact_school_facilities.csv = rows in gold</t>
  </si>
  <si>
    <t>Rows in agg_school_year.csv = rows in gold</t>
  </si>
  <si>
    <t>Validation measures on the CSVs = pipeline/validation.py on gold</t>
  </si>
  <si>
    <t>18 year x indicator values compared, 0 differ</t>
  </si>
  <si>
    <t>District measures on the CSVs = mart_district_year in gold</t>
  </si>
  <si>
    <t>82 district-years, 902 values compared, largest difference 0.0005 (the mart is rounded to 3 decimals)</t>
  </si>
  <si>
    <t>District rows add up to the state row (additive measures)</t>
  </si>
  <si>
    <t>9 measures x 2 years; differ: none</t>
  </si>
  <si>
    <t>Definitions, norms and sources</t>
  </si>
  <si>
    <t>Generated</t>
  </si>
  <si>
    <t>2026-10-26 09:12 UTC</t>
  </si>
  <si>
    <t>Gold database</t>
  </si>
  <si>
    <t>E:/rajasthan-udise-insights/data/gold/udise.duckdb</t>
  </si>
  <si>
    <t>Regenerate</t>
  </si>
  <si>
    <t>python scripts/export_powerbi.py, then python scripts/make_reconciliation_workbook.py</t>
  </si>
  <si>
    <t>reference/official_totals.json: UDISE+ 2024-25 report (Table 2.2) and Lok Sabha / Rajya Sabha answers citing UDISE+ for government schools. Enrolment figures include pre-primary.</t>
  </si>
  <si>
    <t>pipeline/validation.py running sql/validation/01_official_indicators.sql on int_school_year in the gold database</t>
  </si>
  <si>
    <t>sql/powerbi/check_validation_measures.sql: the validation DAX measures written in SQL over the exported facts and dimensions (a second, independent path)</t>
  </si>
  <si>
    <t>District indicators</t>
  </si>
  <si>
    <t>Only schools with students in classes 1-12, as in mart_district_year. PTR = students in classes 1-12 / teachers.</t>
  </si>
  <si>
    <t>State value</t>
  </si>
  <si>
    <t>Ratio of state totals (all schools pooled), not the mean of the 41 district values.</t>
  </si>
  <si>
    <t>Teacher norm</t>
  </si>
  <si>
    <t>Staffing and classroom norms for the resource-gap measures (Power BI). Teacher norms apply per school and per stage: a stage with students needs max(min_teachers, ceil(students / pupils_per_teacher)) teachers. Simplified: head-teacher posts and the RTE rule of 40 pupils per teacher for primary sections above 200 children are not modelled.</t>
  </si>
  <si>
    <t xml:space="preserve">  primary (classes 1-5)</t>
  </si>
  <si>
    <t>30 pupils per teacher, minimum 2. RTE Act 2009, Schedule, item 1(a): 2 teachers for up to 60 children, then one more per 30 children up to 120 (30:1). [statutory (simplified)]</t>
  </si>
  <si>
    <t xml:space="preserve">  upper_primary (classes 6-8)</t>
  </si>
  <si>
    <t>35 pupils per teacher, minimum 3. RTE Act 2009, Schedule, item 1(b): at least one teacher each for science and maths, social studies and languages; at least one teacher for every 35 children. [statutory]</t>
  </si>
  <si>
    <t xml:space="preserve">  secondary (classes 9-10)</t>
  </si>
  <si>
    <t>30 pupils per teacher, minimum 0. RMSA framework (now part of Samagra Shiksha): pupil-teacher ratio 30:1 at secondary. [programme norm]</t>
  </si>
  <si>
    <t xml:space="preserve">  higher_secondary (classes 11-12)</t>
  </si>
  <si>
    <t>30 pupils per teacher, minimum 0. No statutory norm; 30:1 assumed, the same as secondary. Change it here to test other values. [assumption]</t>
  </si>
  <si>
    <t>Teachers for norms</t>
  </si>
  <si>
    <t>total_tch minus teachers who teach only pre-primary (the norms are for classes 1-12).</t>
  </si>
  <si>
    <t>Teacher shortfall</t>
  </si>
  <si>
    <t>Sum over schools of max(0, required - teachers): a surplus in one school does not fill a gap in another. Net gap = required - teachers (can be negative).</t>
  </si>
  <si>
    <t>Classroom norm</t>
  </si>
  <si>
    <t>one classroom per teacher. RTE Act 2009, Schedule, item 2: an all-weather building with at least one class-room for every teacher. [statutory for elementary schools; applied to every school]</t>
  </si>
  <si>
    <t>Classroom shortfall</t>
  </si>
  <si>
    <t>Sum over schools of max(0, teachers - classrooms). 'Usable rooms' counts only classrooms in good condition or needing minor repair.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</si>
</sst>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&gt;=10000000]##\,##\,##\,##0;[&gt;=100000]##\,##\,##0;##,##0"/>
    <numFmt numFmtId="165" formatCode="#,##0;\-#,##0;0"/>
    <numFmt numFmtId="166" formatCode="0.000%"/>
    <numFmt numFmtId="167" formatCode="\+#,##0;\-#,##0;0"/>
    <numFmt numFmtId="168" formatCode="\+0.0%;\-0.0%;0.0%"/>
    <numFmt numFmtId="169" formatCode="\+0.00;\-0.00;0.00"/>
    <numFmt numFmtId="170" formatCode="0.0%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595959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theme="1"/>
      <name val="Arial"/>
    </font>
    <font>
      <b/>
      <sz val="11"/>
      <color rgb="FF008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6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0" borderId="1" xfId="0" applyFont="1" applyBorder="1"/>
    <xf numFmtId="164" fontId="5" fillId="0" borderId="1" xfId="0" applyNumberFormat="1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164" fontId="5" fillId="0" borderId="0" xfId="0" applyNumberFormat="1" applyFont="1"/>
    <xf numFmtId="167" fontId="6" fillId="0" borderId="0" xfId="0" applyNumberFormat="1" applyFont="1"/>
    <xf numFmtId="168" fontId="6" fillId="0" borderId="0" xfId="0" applyNumberFormat="1" applyFont="1"/>
    <xf numFmtId="2" fontId="5" fillId="0" borderId="0" xfId="0" applyNumberFormat="1" applyFont="1"/>
    <xf numFmtId="169" fontId="6" fillId="0" borderId="0" xfId="0" applyNumberFormat="1" applyFont="1"/>
    <xf numFmtId="170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pane ySplit="7" topLeftCell="A8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36" customWidth="1"/>
    <col min="4" max="4" width="14" customWidth="1"/>
    <col min="5" max="5" width="18" customWidth="1"/>
    <col min="6" max="6" width="16" customWidth="1"/>
    <col min="7" max="7" width="18" customWidth="1"/>
    <col min="8" max="8" width="13" customWidth="1"/>
    <col min="9" max="9" width="12" customWidth="1"/>
    <col min="10" max="10" width="24" customWidth="1"/>
  </cols>
  <sheetData>
    <row r="1" spans="1:10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4" t="s">
        <v>2</v>
      </c>
      <c r="B4" s="2">
        <f>COUNTIF(J8:J25,"exact match")</f>
        <v>8</v>
      </c>
      <c r="C4" s="4" t="s">
        <v>3</v>
      </c>
      <c r="D4" s="2">
        <f>COUNT(D8:D25)</f>
        <v>8</v>
      </c>
      <c r="E4" s="2"/>
      <c r="F4" s="3" t="s">
        <v>4</v>
      </c>
      <c r="G4" s="2"/>
      <c r="H4" s="2"/>
      <c r="I4" s="2"/>
      <c r="J4" s="2"/>
    </row>
    <row r="5" spans="1:10" x14ac:dyDescent="0.3">
      <c r="A5" s="4" t="s">
        <v>5</v>
      </c>
      <c r="B5" s="2">
        <f>COUNTIF(I8:I25,"&lt;&gt;0")</f>
        <v>0</v>
      </c>
      <c r="C5" s="2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41.4" x14ac:dyDescent="0.3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</row>
    <row r="8" spans="1:10" x14ac:dyDescent="0.3">
      <c r="A8" s="6" t="s">
        <v>16</v>
      </c>
      <c r="B8" s="6" t="s">
        <v>17</v>
      </c>
      <c r="C8" s="6" t="s">
        <v>18</v>
      </c>
      <c r="D8" s="7">
        <v>106302</v>
      </c>
      <c r="E8" s="7">
        <v>106302</v>
      </c>
      <c r="F8" s="7">
        <v>106302</v>
      </c>
      <c r="G8" s="8">
        <f t="shared" ref="G8:G25" si="0">IF(D8="","",E8-D8)</f>
        <v>0</v>
      </c>
      <c r="H8" s="9">
        <f t="shared" ref="H8:H25" si="1">IF(D8="","",G8/D8)</f>
        <v>0</v>
      </c>
      <c r="I8" s="8">
        <f t="shared" ref="I8:I25" si="2">F8-E8</f>
        <v>0</v>
      </c>
      <c r="J8" s="6" t="str">
        <f t="shared" ref="J8:J25" si="3">IF(I8&lt;&gt;0,"export differs from gold",IF(D8="","no official figure",IF(G8=0,"exact match","differs")))</f>
        <v>exact match</v>
      </c>
    </row>
    <row r="9" spans="1:10" x14ac:dyDescent="0.3">
      <c r="A9" s="6" t="s">
        <v>16</v>
      </c>
      <c r="B9" s="6" t="s">
        <v>19</v>
      </c>
      <c r="C9" s="6" t="s">
        <v>20</v>
      </c>
      <c r="D9" s="7">
        <v>16364187</v>
      </c>
      <c r="E9" s="7">
        <v>16364187</v>
      </c>
      <c r="F9" s="7">
        <v>16364187</v>
      </c>
      <c r="G9" s="8">
        <f t="shared" si="0"/>
        <v>0</v>
      </c>
      <c r="H9" s="9">
        <f t="shared" si="1"/>
        <v>0</v>
      </c>
      <c r="I9" s="8">
        <f t="shared" si="2"/>
        <v>0</v>
      </c>
      <c r="J9" s="6" t="str">
        <f t="shared" si="3"/>
        <v>exact match</v>
      </c>
    </row>
    <row r="10" spans="1:10" x14ac:dyDescent="0.3">
      <c r="A10" s="6" t="s">
        <v>16</v>
      </c>
      <c r="B10" s="6" t="s">
        <v>21</v>
      </c>
      <c r="C10" s="6" t="s">
        <v>22</v>
      </c>
      <c r="D10" s="7"/>
      <c r="E10" s="7">
        <v>15340387</v>
      </c>
      <c r="F10" s="7">
        <v>15340387</v>
      </c>
      <c r="G10" s="8" t="str">
        <f t="shared" si="0"/>
        <v/>
      </c>
      <c r="H10" s="9" t="str">
        <f t="shared" si="1"/>
        <v/>
      </c>
      <c r="I10" s="8">
        <f t="shared" si="2"/>
        <v>0</v>
      </c>
      <c r="J10" s="6" t="str">
        <f t="shared" si="3"/>
        <v>no official figure</v>
      </c>
    </row>
    <row r="11" spans="1:10" x14ac:dyDescent="0.3">
      <c r="A11" s="6" t="s">
        <v>16</v>
      </c>
      <c r="B11" s="6" t="s">
        <v>23</v>
      </c>
      <c r="C11" s="6" t="s">
        <v>24</v>
      </c>
      <c r="D11" s="7">
        <v>792265</v>
      </c>
      <c r="E11" s="7">
        <v>792265</v>
      </c>
      <c r="F11" s="7">
        <v>792265</v>
      </c>
      <c r="G11" s="8">
        <f t="shared" si="0"/>
        <v>0</v>
      </c>
      <c r="H11" s="9">
        <f t="shared" si="1"/>
        <v>0</v>
      </c>
      <c r="I11" s="8">
        <f t="shared" si="2"/>
        <v>0</v>
      </c>
      <c r="J11" s="6" t="str">
        <f t="shared" si="3"/>
        <v>exact match</v>
      </c>
    </row>
    <row r="12" spans="1:10" x14ac:dyDescent="0.3">
      <c r="A12" s="6" t="s">
        <v>16</v>
      </c>
      <c r="B12" s="6" t="s">
        <v>25</v>
      </c>
      <c r="C12" s="6" t="s">
        <v>26</v>
      </c>
      <c r="D12" s="7">
        <v>6117</v>
      </c>
      <c r="E12" s="7">
        <v>6117</v>
      </c>
      <c r="F12" s="7">
        <v>6117</v>
      </c>
      <c r="G12" s="8">
        <f t="shared" si="0"/>
        <v>0</v>
      </c>
      <c r="H12" s="9">
        <f t="shared" si="1"/>
        <v>0</v>
      </c>
      <c r="I12" s="8">
        <f t="shared" si="2"/>
        <v>0</v>
      </c>
      <c r="J12" s="6" t="str">
        <f t="shared" si="3"/>
        <v>exact match</v>
      </c>
    </row>
    <row r="13" spans="1:10" x14ac:dyDescent="0.3">
      <c r="A13" s="6" t="s">
        <v>16</v>
      </c>
      <c r="B13" s="6" t="s">
        <v>27</v>
      </c>
      <c r="C13" s="6" t="s">
        <v>28</v>
      </c>
      <c r="D13" s="7">
        <v>215</v>
      </c>
      <c r="E13" s="7">
        <v>215</v>
      </c>
      <c r="F13" s="7">
        <v>215</v>
      </c>
      <c r="G13" s="8">
        <f t="shared" si="0"/>
        <v>0</v>
      </c>
      <c r="H13" s="9">
        <f t="shared" si="1"/>
        <v>0</v>
      </c>
      <c r="I13" s="8">
        <f t="shared" si="2"/>
        <v>0</v>
      </c>
      <c r="J13" s="6" t="str">
        <f t="shared" si="3"/>
        <v>exact match</v>
      </c>
    </row>
    <row r="14" spans="1:10" x14ac:dyDescent="0.3">
      <c r="A14" s="6" t="s">
        <v>16</v>
      </c>
      <c r="B14" s="6" t="s">
        <v>29</v>
      </c>
      <c r="C14" s="6" t="s">
        <v>30</v>
      </c>
      <c r="D14" s="7">
        <v>70155</v>
      </c>
      <c r="E14" s="7">
        <v>70155</v>
      </c>
      <c r="F14" s="7">
        <v>70155</v>
      </c>
      <c r="G14" s="8">
        <f t="shared" si="0"/>
        <v>0</v>
      </c>
      <c r="H14" s="9">
        <f t="shared" si="1"/>
        <v>0</v>
      </c>
      <c r="I14" s="8">
        <f t="shared" si="2"/>
        <v>0</v>
      </c>
      <c r="J14" s="6" t="str">
        <f t="shared" si="3"/>
        <v>exact match</v>
      </c>
    </row>
    <row r="15" spans="1:10" x14ac:dyDescent="0.3">
      <c r="A15" s="6" t="s">
        <v>16</v>
      </c>
      <c r="B15" s="6" t="s">
        <v>31</v>
      </c>
      <c r="C15" s="6" t="s">
        <v>32</v>
      </c>
      <c r="D15" s="7">
        <v>7782390</v>
      </c>
      <c r="E15" s="7">
        <v>7782390</v>
      </c>
      <c r="F15" s="7">
        <v>7782390</v>
      </c>
      <c r="G15" s="8">
        <f t="shared" si="0"/>
        <v>0</v>
      </c>
      <c r="H15" s="9">
        <f t="shared" si="1"/>
        <v>0</v>
      </c>
      <c r="I15" s="8">
        <f t="shared" si="2"/>
        <v>0</v>
      </c>
      <c r="J15" s="6" t="str">
        <f t="shared" si="3"/>
        <v>exact match</v>
      </c>
    </row>
    <row r="16" spans="1:10" x14ac:dyDescent="0.3">
      <c r="A16" s="6" t="s">
        <v>16</v>
      </c>
      <c r="B16" s="6" t="s">
        <v>33</v>
      </c>
      <c r="C16" s="6" t="s">
        <v>34</v>
      </c>
      <c r="D16" s="7">
        <v>445073</v>
      </c>
      <c r="E16" s="7">
        <v>445073</v>
      </c>
      <c r="F16" s="7">
        <v>445073</v>
      </c>
      <c r="G16" s="8">
        <f t="shared" si="0"/>
        <v>0</v>
      </c>
      <c r="H16" s="9">
        <f t="shared" si="1"/>
        <v>0</v>
      </c>
      <c r="I16" s="8">
        <f t="shared" si="2"/>
        <v>0</v>
      </c>
      <c r="J16" s="6" t="str">
        <f t="shared" si="3"/>
        <v>exact match</v>
      </c>
    </row>
    <row r="17" spans="1:10" x14ac:dyDescent="0.3">
      <c r="A17" s="6" t="s">
        <v>35</v>
      </c>
      <c r="B17" s="6" t="s">
        <v>17</v>
      </c>
      <c r="C17" s="6" t="s">
        <v>18</v>
      </c>
      <c r="D17" s="7"/>
      <c r="E17" s="7">
        <v>106445</v>
      </c>
      <c r="F17" s="7">
        <v>106445</v>
      </c>
      <c r="G17" s="8" t="str">
        <f t="shared" si="0"/>
        <v/>
      </c>
      <c r="H17" s="9" t="str">
        <f t="shared" si="1"/>
        <v/>
      </c>
      <c r="I17" s="8">
        <f t="shared" si="2"/>
        <v>0</v>
      </c>
      <c r="J17" s="6" t="str">
        <f t="shared" si="3"/>
        <v>no official figure</v>
      </c>
    </row>
    <row r="18" spans="1:10" x14ac:dyDescent="0.3">
      <c r="A18" s="6" t="s">
        <v>35</v>
      </c>
      <c r="B18" s="6" t="s">
        <v>19</v>
      </c>
      <c r="C18" s="6" t="s">
        <v>20</v>
      </c>
      <c r="D18" s="7"/>
      <c r="E18" s="7">
        <v>15945455</v>
      </c>
      <c r="F18" s="7">
        <v>15945455</v>
      </c>
      <c r="G18" s="8" t="str">
        <f t="shared" si="0"/>
        <v/>
      </c>
      <c r="H18" s="9" t="str">
        <f t="shared" si="1"/>
        <v/>
      </c>
      <c r="I18" s="8">
        <f t="shared" si="2"/>
        <v>0</v>
      </c>
      <c r="J18" s="6" t="str">
        <f t="shared" si="3"/>
        <v>no official figure</v>
      </c>
    </row>
    <row r="19" spans="1:10" x14ac:dyDescent="0.3">
      <c r="A19" s="6" t="s">
        <v>35</v>
      </c>
      <c r="B19" s="6" t="s">
        <v>21</v>
      </c>
      <c r="C19" s="6" t="s">
        <v>22</v>
      </c>
      <c r="D19" s="7"/>
      <c r="E19" s="7">
        <v>14954579</v>
      </c>
      <c r="F19" s="7">
        <v>14954579</v>
      </c>
      <c r="G19" s="8" t="str">
        <f t="shared" si="0"/>
        <v/>
      </c>
      <c r="H19" s="9" t="str">
        <f t="shared" si="1"/>
        <v/>
      </c>
      <c r="I19" s="8">
        <f t="shared" si="2"/>
        <v>0</v>
      </c>
      <c r="J19" s="6" t="str">
        <f t="shared" si="3"/>
        <v>no official figure</v>
      </c>
    </row>
    <row r="20" spans="1:10" x14ac:dyDescent="0.3">
      <c r="A20" s="6" t="s">
        <v>35</v>
      </c>
      <c r="B20" s="6" t="s">
        <v>23</v>
      </c>
      <c r="C20" s="6" t="s">
        <v>24</v>
      </c>
      <c r="D20" s="7"/>
      <c r="E20" s="7">
        <v>793158</v>
      </c>
      <c r="F20" s="7">
        <v>793158</v>
      </c>
      <c r="G20" s="8" t="str">
        <f t="shared" si="0"/>
        <v/>
      </c>
      <c r="H20" s="9" t="str">
        <f t="shared" si="1"/>
        <v/>
      </c>
      <c r="I20" s="8">
        <f t="shared" si="2"/>
        <v>0</v>
      </c>
      <c r="J20" s="6" t="str">
        <f t="shared" si="3"/>
        <v>no official figure</v>
      </c>
    </row>
    <row r="21" spans="1:10" x14ac:dyDescent="0.3">
      <c r="A21" s="6" t="s">
        <v>35</v>
      </c>
      <c r="B21" s="6" t="s">
        <v>25</v>
      </c>
      <c r="C21" s="6" t="s">
        <v>26</v>
      </c>
      <c r="D21" s="7"/>
      <c r="E21" s="7">
        <v>7200</v>
      </c>
      <c r="F21" s="7">
        <v>7200</v>
      </c>
      <c r="G21" s="8" t="str">
        <f t="shared" si="0"/>
        <v/>
      </c>
      <c r="H21" s="9" t="str">
        <f t="shared" si="1"/>
        <v/>
      </c>
      <c r="I21" s="8">
        <f t="shared" si="2"/>
        <v>0</v>
      </c>
      <c r="J21" s="6" t="str">
        <f t="shared" si="3"/>
        <v>no official figure</v>
      </c>
    </row>
    <row r="22" spans="1:10" x14ac:dyDescent="0.3">
      <c r="A22" s="6" t="s">
        <v>35</v>
      </c>
      <c r="B22" s="6" t="s">
        <v>27</v>
      </c>
      <c r="C22" s="6" t="s">
        <v>28</v>
      </c>
      <c r="D22" s="7"/>
      <c r="E22" s="7">
        <v>140</v>
      </c>
      <c r="F22" s="7">
        <v>140</v>
      </c>
      <c r="G22" s="8" t="str">
        <f t="shared" si="0"/>
        <v/>
      </c>
      <c r="H22" s="9" t="str">
        <f t="shared" si="1"/>
        <v/>
      </c>
      <c r="I22" s="8">
        <f t="shared" si="2"/>
        <v>0</v>
      </c>
      <c r="J22" s="6" t="str">
        <f t="shared" si="3"/>
        <v>no official figure</v>
      </c>
    </row>
    <row r="23" spans="1:10" x14ac:dyDescent="0.3">
      <c r="A23" s="6" t="s">
        <v>35</v>
      </c>
      <c r="B23" s="6" t="s">
        <v>29</v>
      </c>
      <c r="C23" s="6" t="s">
        <v>30</v>
      </c>
      <c r="D23" s="7"/>
      <c r="E23" s="7">
        <v>69983</v>
      </c>
      <c r="F23" s="7">
        <v>69983</v>
      </c>
      <c r="G23" s="8" t="str">
        <f t="shared" si="0"/>
        <v/>
      </c>
      <c r="H23" s="9" t="str">
        <f t="shared" si="1"/>
        <v/>
      </c>
      <c r="I23" s="8">
        <f t="shared" si="2"/>
        <v>0</v>
      </c>
      <c r="J23" s="6" t="str">
        <f t="shared" si="3"/>
        <v>no official figure</v>
      </c>
    </row>
    <row r="24" spans="1:10" x14ac:dyDescent="0.3">
      <c r="A24" s="6" t="s">
        <v>35</v>
      </c>
      <c r="B24" s="6" t="s">
        <v>31</v>
      </c>
      <c r="C24" s="6" t="s">
        <v>32</v>
      </c>
      <c r="D24" s="7"/>
      <c r="E24" s="7">
        <v>7449532</v>
      </c>
      <c r="F24" s="7">
        <v>7449532</v>
      </c>
      <c r="G24" s="8" t="str">
        <f t="shared" si="0"/>
        <v/>
      </c>
      <c r="H24" s="9" t="str">
        <f t="shared" si="1"/>
        <v/>
      </c>
      <c r="I24" s="8">
        <f t="shared" si="2"/>
        <v>0</v>
      </c>
      <c r="J24" s="6" t="str">
        <f t="shared" si="3"/>
        <v>no official figure</v>
      </c>
    </row>
    <row r="25" spans="1:10" x14ac:dyDescent="0.3">
      <c r="A25" s="6" t="s">
        <v>35</v>
      </c>
      <c r="B25" s="6" t="s">
        <v>33</v>
      </c>
      <c r="C25" s="6" t="s">
        <v>34</v>
      </c>
      <c r="D25" s="7"/>
      <c r="E25" s="7">
        <v>441070</v>
      </c>
      <c r="F25" s="7">
        <v>441070</v>
      </c>
      <c r="G25" s="8" t="str">
        <f t="shared" si="0"/>
        <v/>
      </c>
      <c r="H25" s="9" t="str">
        <f t="shared" si="1"/>
        <v/>
      </c>
      <c r="I25" s="8">
        <f t="shared" si="2"/>
        <v>0</v>
      </c>
      <c r="J25" s="6" t="str">
        <f t="shared" si="3"/>
        <v>no official figure</v>
      </c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3" t="s">
        <v>36</v>
      </c>
      <c r="B27" s="2"/>
      <c r="C27" s="2"/>
      <c r="D27" s="2"/>
      <c r="E27" s="2"/>
      <c r="F27" s="2"/>
      <c r="G27" s="2"/>
      <c r="H27" s="2"/>
      <c r="I27" s="2"/>
      <c r="J27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6" customWidth="1"/>
    <col min="2" max="2" width="28" customWidth="1"/>
    <col min="3" max="4" width="14" customWidth="1"/>
    <col min="5" max="5" width="12" customWidth="1"/>
    <col min="6" max="6" width="11" customWidth="1"/>
  </cols>
  <sheetData>
    <row r="1" spans="1:6" ht="17.399999999999999" x14ac:dyDescent="0.3">
      <c r="A1" s="1" t="s">
        <v>37</v>
      </c>
      <c r="B1" s="2"/>
      <c r="C1" s="2"/>
      <c r="D1" s="2"/>
      <c r="E1" s="2"/>
      <c r="F1" s="2"/>
    </row>
    <row r="2" spans="1:6" x14ac:dyDescent="0.3">
      <c r="A2" s="3" t="s">
        <v>38</v>
      </c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5" t="s">
        <v>39</v>
      </c>
      <c r="B4" s="5" t="s">
        <v>40</v>
      </c>
      <c r="C4" s="5" t="s">
        <v>16</v>
      </c>
      <c r="D4" s="5" t="s">
        <v>35</v>
      </c>
      <c r="E4" s="5" t="s">
        <v>41</v>
      </c>
      <c r="F4" s="5" t="s">
        <v>42</v>
      </c>
    </row>
    <row r="5" spans="1:6" x14ac:dyDescent="0.3">
      <c r="A5" s="2" t="s">
        <v>43</v>
      </c>
      <c r="B5" s="2" t="s">
        <v>44</v>
      </c>
      <c r="C5" s="10">
        <v>105973</v>
      </c>
      <c r="D5" s="10">
        <v>106167</v>
      </c>
      <c r="E5" s="11">
        <f t="shared" ref="E5:E23" si="0">D5-C5</f>
        <v>194</v>
      </c>
      <c r="F5" s="12">
        <f>IF(C5=0,"",(D5-C5)/ABS(C5))</f>
        <v>1.8306549781548129E-3</v>
      </c>
    </row>
    <row r="6" spans="1:6" x14ac:dyDescent="0.3">
      <c r="A6" s="2" t="s">
        <v>45</v>
      </c>
      <c r="B6" s="2" t="s">
        <v>46</v>
      </c>
      <c r="C6" s="10">
        <v>15340387</v>
      </c>
      <c r="D6" s="10">
        <v>14954579</v>
      </c>
      <c r="E6" s="11">
        <f t="shared" si="0"/>
        <v>-385808</v>
      </c>
      <c r="F6" s="12">
        <f>IF(C6=0,"",(D6-C6)/ABS(C6))</f>
        <v>-2.5149821839566367E-2</v>
      </c>
    </row>
    <row r="7" spans="1:6" x14ac:dyDescent="0.3">
      <c r="A7" s="2" t="s">
        <v>47</v>
      </c>
      <c r="B7" s="2" t="s">
        <v>23</v>
      </c>
      <c r="C7" s="10">
        <v>791610</v>
      </c>
      <c r="D7" s="10">
        <v>792524</v>
      </c>
      <c r="E7" s="11">
        <f t="shared" si="0"/>
        <v>914</v>
      </c>
      <c r="F7" s="12">
        <f>IF(C7=0,"",(D7-C7)/ABS(C7))</f>
        <v>1.1546089614835589E-3</v>
      </c>
    </row>
    <row r="8" spans="1:6" x14ac:dyDescent="0.3">
      <c r="A8" s="2" t="s">
        <v>48</v>
      </c>
      <c r="B8" s="2" t="s">
        <v>49</v>
      </c>
      <c r="C8" s="13">
        <v>19.378718055608189</v>
      </c>
      <c r="D8" s="13">
        <v>18.869559786202061</v>
      </c>
      <c r="E8" s="14">
        <f t="shared" si="0"/>
        <v>-0.50915826940612874</v>
      </c>
      <c r="F8" s="12">
        <f>IF(C8=0,"",(D8-C8)/ABS(C8))</f>
        <v>-2.6274094496089674E-2</v>
      </c>
    </row>
    <row r="9" spans="1:6" x14ac:dyDescent="0.3">
      <c r="A9" s="2" t="s">
        <v>50</v>
      </c>
      <c r="B9" s="2" t="s">
        <v>51</v>
      </c>
      <c r="C9" s="15">
        <v>5.6778613420399533E-2</v>
      </c>
      <c r="D9" s="15">
        <v>6.7243116976084844E-2</v>
      </c>
      <c r="E9" s="12">
        <f t="shared" si="0"/>
        <v>1.046450355568531E-2</v>
      </c>
      <c r="F9" s="2"/>
    </row>
    <row r="10" spans="1:6" x14ac:dyDescent="0.3">
      <c r="A10" s="2" t="s">
        <v>52</v>
      </c>
      <c r="B10" s="2" t="s">
        <v>53</v>
      </c>
      <c r="C10" s="13">
        <v>79.366914213997902</v>
      </c>
      <c r="D10" s="13">
        <v>79.763657256963086</v>
      </c>
      <c r="E10" s="14">
        <f t="shared" si="0"/>
        <v>0.39674304296518415</v>
      </c>
      <c r="F10" s="12">
        <f>IF(C10=0,"",(D10-C10)/ABS(C10))</f>
        <v>4.9988467725410289E-3</v>
      </c>
    </row>
    <row r="11" spans="1:6" x14ac:dyDescent="0.3">
      <c r="A11" s="2" t="s">
        <v>54</v>
      </c>
      <c r="B11" s="2" t="s">
        <v>55</v>
      </c>
      <c r="C11" s="15">
        <v>0.47264655057268112</v>
      </c>
      <c r="D11" s="15">
        <v>0.47449560432293009</v>
      </c>
      <c r="E11" s="12">
        <f t="shared" si="0"/>
        <v>1.8490537502489635E-3</v>
      </c>
      <c r="F11" s="2"/>
    </row>
    <row r="12" spans="1:6" x14ac:dyDescent="0.3">
      <c r="A12" s="2" t="s">
        <v>56</v>
      </c>
      <c r="B12" s="2" t="s">
        <v>57</v>
      </c>
      <c r="C12" s="15">
        <v>-3.314370166323688E-3</v>
      </c>
      <c r="D12" s="15">
        <v>3.2275738788722919E-5</v>
      </c>
      <c r="E12" s="12">
        <f t="shared" si="0"/>
        <v>3.3466459051124109E-3</v>
      </c>
      <c r="F12" s="2"/>
    </row>
    <row r="13" spans="1:6" x14ac:dyDescent="0.3">
      <c r="A13" s="2" t="s">
        <v>58</v>
      </c>
      <c r="B13" s="2" t="s">
        <v>59</v>
      </c>
      <c r="C13" s="15">
        <v>0.91384597963632241</v>
      </c>
      <c r="D13" s="15">
        <v>0.91536918251434063</v>
      </c>
      <c r="E13" s="12">
        <f t="shared" si="0"/>
        <v>1.523202878018215E-3</v>
      </c>
      <c r="F13" s="2"/>
    </row>
    <row r="14" spans="1:6" x14ac:dyDescent="0.3">
      <c r="A14" s="2" t="s">
        <v>60</v>
      </c>
      <c r="B14" s="2" t="s">
        <v>61</v>
      </c>
      <c r="C14" s="15">
        <v>0.98502448736942427</v>
      </c>
      <c r="D14" s="15">
        <v>0.98180225493797513</v>
      </c>
      <c r="E14" s="12">
        <f t="shared" si="0"/>
        <v>-3.2222324314491457E-3</v>
      </c>
      <c r="F14" s="2"/>
    </row>
    <row r="15" spans="1:6" x14ac:dyDescent="0.3">
      <c r="A15" s="2" t="s">
        <v>62</v>
      </c>
      <c r="B15" s="2" t="s">
        <v>63</v>
      </c>
      <c r="C15" s="15">
        <v>0.87266567899370595</v>
      </c>
      <c r="D15" s="15">
        <v>0.86804751005491354</v>
      </c>
      <c r="E15" s="12">
        <f t="shared" si="0"/>
        <v>-4.6181689387924107E-3</v>
      </c>
      <c r="F15" s="2"/>
    </row>
    <row r="16" spans="1:6" x14ac:dyDescent="0.3">
      <c r="A16" s="2" t="s">
        <v>64</v>
      </c>
      <c r="B16" s="2" t="s">
        <v>65</v>
      </c>
      <c r="C16" s="10">
        <v>711638</v>
      </c>
      <c r="D16" s="10">
        <v>707282</v>
      </c>
      <c r="E16" s="11">
        <f t="shared" si="0"/>
        <v>-4356</v>
      </c>
      <c r="F16" s="12">
        <f>IF(C16=0,"",(D16-C16)/ABS(C16))</f>
        <v>-6.1210896551336493E-3</v>
      </c>
    </row>
    <row r="17" spans="1:6" x14ac:dyDescent="0.3">
      <c r="A17" s="2" t="s">
        <v>66</v>
      </c>
      <c r="B17" s="2" t="s">
        <v>67</v>
      </c>
      <c r="C17" s="10">
        <v>78356</v>
      </c>
      <c r="D17" s="10">
        <v>78275</v>
      </c>
      <c r="E17" s="11">
        <f t="shared" si="0"/>
        <v>-81</v>
      </c>
      <c r="F17" s="12">
        <f>IF(C17=0,"",(D17-C17)/ABS(C17))</f>
        <v>-1.0337434274337639E-3</v>
      </c>
    </row>
    <row r="18" spans="1:6" x14ac:dyDescent="0.3">
      <c r="A18" s="2" t="s">
        <v>68</v>
      </c>
      <c r="B18" s="2" t="s">
        <v>69</v>
      </c>
      <c r="C18" s="10">
        <v>149978</v>
      </c>
      <c r="D18" s="10">
        <v>154538</v>
      </c>
      <c r="E18" s="11">
        <f t="shared" si="0"/>
        <v>4560</v>
      </c>
      <c r="F18" s="12">
        <f>IF(C18=0,"",(D18-C18)/ABS(C18))</f>
        <v>3.0404459320700371E-2</v>
      </c>
    </row>
    <row r="19" spans="1:6" x14ac:dyDescent="0.3">
      <c r="A19" s="2" t="s">
        <v>70</v>
      </c>
      <c r="B19" s="2" t="s">
        <v>71</v>
      </c>
      <c r="C19" s="16">
        <v>-71622</v>
      </c>
      <c r="D19" s="16">
        <v>-76263</v>
      </c>
      <c r="E19" s="11">
        <f t="shared" si="0"/>
        <v>-4641</v>
      </c>
      <c r="F19" s="12">
        <f>IF(C19=0,"",(D19-C19)/ABS(C19))</f>
        <v>-6.4798525592694986E-2</v>
      </c>
    </row>
    <row r="20" spans="1:6" x14ac:dyDescent="0.3">
      <c r="A20" s="2" t="s">
        <v>72</v>
      </c>
      <c r="B20" s="2" t="s">
        <v>73</v>
      </c>
      <c r="C20" s="15">
        <v>0.11010654293334531</v>
      </c>
      <c r="D20" s="15">
        <v>0.1106701428850162</v>
      </c>
      <c r="E20" s="12">
        <f t="shared" si="0"/>
        <v>5.6359995167089283E-4</v>
      </c>
      <c r="F20" s="2"/>
    </row>
    <row r="21" spans="1:6" x14ac:dyDescent="0.3">
      <c r="A21" s="2" t="s">
        <v>74</v>
      </c>
      <c r="B21" s="2" t="s">
        <v>75</v>
      </c>
      <c r="C21" s="10">
        <v>26651</v>
      </c>
      <c r="D21" s="10">
        <v>28050</v>
      </c>
      <c r="E21" s="11">
        <f t="shared" si="0"/>
        <v>1399</v>
      </c>
      <c r="F21" s="12">
        <f>IF(C21=0,"",(D21-C21)/ABS(C21))</f>
        <v>5.2493339837154325E-2</v>
      </c>
    </row>
    <row r="22" spans="1:6" x14ac:dyDescent="0.3">
      <c r="A22" s="2" t="s">
        <v>76</v>
      </c>
      <c r="B22" s="2" t="s">
        <v>77</v>
      </c>
      <c r="C22" s="10">
        <v>132135</v>
      </c>
      <c r="D22" s="10">
        <v>129070</v>
      </c>
      <c r="E22" s="11">
        <f t="shared" si="0"/>
        <v>-3065</v>
      </c>
      <c r="F22" s="12">
        <f>IF(C22=0,"",(D22-C22)/ABS(C22))</f>
        <v>-2.3195973814659251E-2</v>
      </c>
    </row>
    <row r="23" spans="1:6" x14ac:dyDescent="0.3">
      <c r="A23" s="2" t="s">
        <v>78</v>
      </c>
      <c r="B23" s="2" t="s">
        <v>79</v>
      </c>
      <c r="C23" s="10">
        <v>181116</v>
      </c>
      <c r="D23" s="10">
        <v>190896</v>
      </c>
      <c r="E23" s="11">
        <f t="shared" si="0"/>
        <v>9780</v>
      </c>
      <c r="F23" s="12">
        <f>IF(C23=0,"",(D23-C23)/ABS(C23))</f>
        <v>5.3998542370635394E-2</v>
      </c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3" t="s">
        <v>80</v>
      </c>
      <c r="B25" s="2"/>
      <c r="C25" s="2"/>
      <c r="D25" s="2"/>
      <c r="E25" s="2"/>
      <c r="F2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9" customWidth="1"/>
    <col min="3" max="26" width="13" customWidth="1"/>
  </cols>
  <sheetData>
    <row r="1" spans="1:26" ht="17.399999999999999" x14ac:dyDescent="0.3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3">
      <c r="A4" s="5" t="s">
        <v>83</v>
      </c>
      <c r="B4" s="5" t="s">
        <v>6</v>
      </c>
      <c r="C4" s="5" t="s">
        <v>43</v>
      </c>
      <c r="D4" s="5" t="s">
        <v>45</v>
      </c>
      <c r="E4" s="5" t="s">
        <v>47</v>
      </c>
      <c r="F4" s="5" t="s">
        <v>48</v>
      </c>
      <c r="G4" s="5" t="s">
        <v>50</v>
      </c>
      <c r="H4" s="5" t="s">
        <v>52</v>
      </c>
      <c r="I4" s="5" t="s">
        <v>54</v>
      </c>
      <c r="J4" s="5" t="s">
        <v>56</v>
      </c>
      <c r="K4" s="5" t="s">
        <v>58</v>
      </c>
      <c r="L4" s="5" t="s">
        <v>60</v>
      </c>
      <c r="M4" s="5" t="s">
        <v>62</v>
      </c>
      <c r="N4" s="5" t="s">
        <v>64</v>
      </c>
      <c r="O4" s="5" t="s">
        <v>66</v>
      </c>
      <c r="P4" s="5" t="s">
        <v>68</v>
      </c>
      <c r="Q4" s="5" t="s">
        <v>70</v>
      </c>
      <c r="R4" s="5" t="s">
        <v>72</v>
      </c>
      <c r="S4" s="5" t="s">
        <v>74</v>
      </c>
      <c r="T4" s="5" t="s">
        <v>76</v>
      </c>
      <c r="U4" s="5" t="s">
        <v>78</v>
      </c>
      <c r="V4" s="5" t="s">
        <v>84</v>
      </c>
      <c r="W4" s="5" t="s">
        <v>85</v>
      </c>
      <c r="X4" s="5" t="s">
        <v>86</v>
      </c>
      <c r="Y4" s="5" t="s">
        <v>87</v>
      </c>
      <c r="Z4" s="5" t="s">
        <v>88</v>
      </c>
    </row>
    <row r="5" spans="1:26" x14ac:dyDescent="0.3">
      <c r="A5" s="2" t="s">
        <v>89</v>
      </c>
      <c r="B5" s="2" t="s">
        <v>16</v>
      </c>
      <c r="C5" s="10">
        <v>2440</v>
      </c>
      <c r="D5" s="10">
        <v>445090</v>
      </c>
      <c r="E5" s="10">
        <v>23367</v>
      </c>
      <c r="F5" s="13">
        <v>19.047802456455681</v>
      </c>
      <c r="G5" s="15">
        <v>2.0901639344262299E-2</v>
      </c>
      <c r="H5" s="13">
        <v>85.706967213114751</v>
      </c>
      <c r="I5" s="15">
        <v>0.48268215417106652</v>
      </c>
      <c r="J5" s="15">
        <v>9.4817355162518102E-3</v>
      </c>
      <c r="K5" s="15">
        <v>0.98237704918032787</v>
      </c>
      <c r="L5" s="15">
        <v>0.9950819672131147</v>
      </c>
      <c r="M5" s="15">
        <v>0.92704918032786887</v>
      </c>
      <c r="N5" s="10">
        <v>19430</v>
      </c>
      <c r="O5" s="10">
        <v>1496</v>
      </c>
      <c r="P5" s="10">
        <v>5005</v>
      </c>
      <c r="Q5" s="16">
        <v>-3509</v>
      </c>
      <c r="R5" s="15">
        <v>7.6994338651569738E-2</v>
      </c>
      <c r="S5" s="10">
        <v>530</v>
      </c>
      <c r="T5" s="10">
        <v>4377</v>
      </c>
      <c r="U5" s="10">
        <v>5299</v>
      </c>
      <c r="V5" s="14">
        <f>F5-INDEX('State measures'!$C$8:$D$8,MATCH(B5,'State measures'!$C$4:$D$4,0))</f>
        <v>-0.33091559915250812</v>
      </c>
      <c r="W5" s="12">
        <f>G5-INDEX('State measures'!$C$9:$D$9,MATCH(B5,'State measures'!$C$4:$D$4,0))</f>
        <v>-3.5876974076137234E-2</v>
      </c>
      <c r="X5" s="14">
        <f>H5-INDEX('State measures'!$C$10:$D$10,MATCH(B5,'State measures'!$C$4:$D$4,0))</f>
        <v>6.3400529991168497</v>
      </c>
      <c r="Y5" s="12">
        <f>I5-INDEX('State measures'!$C$11:$D$11,MATCH(B5,'State measures'!$C$4:$D$4,0))</f>
        <v>1.0035603598385401E-2</v>
      </c>
      <c r="Z5" s="12">
        <f>R5-INDEX('State measures'!$C$20:$D$20,MATCH(B5,'State measures'!$C$4:$D$4,0))</f>
        <v>-3.3112204281775567E-2</v>
      </c>
    </row>
    <row r="6" spans="1:26" x14ac:dyDescent="0.3">
      <c r="A6" s="2" t="s">
        <v>89</v>
      </c>
      <c r="B6" s="2" t="s">
        <v>35</v>
      </c>
      <c r="C6" s="10">
        <v>2433</v>
      </c>
      <c r="D6" s="10">
        <v>438218</v>
      </c>
      <c r="E6" s="10">
        <v>23371</v>
      </c>
      <c r="F6" s="13">
        <v>18.75050275983056</v>
      </c>
      <c r="G6" s="15">
        <v>3.2470201397451708E-2</v>
      </c>
      <c r="H6" s="13">
        <v>86.040197287299634</v>
      </c>
      <c r="I6" s="15">
        <v>0.48422018264881861</v>
      </c>
      <c r="J6" s="15">
        <v>1.0734073323941719E-2</v>
      </c>
      <c r="K6" s="15">
        <v>0.98273736128236744</v>
      </c>
      <c r="L6" s="15">
        <v>0.99301274147143448</v>
      </c>
      <c r="M6" s="15">
        <v>0.92519523222359223</v>
      </c>
      <c r="N6" s="10">
        <v>19366</v>
      </c>
      <c r="O6" s="10">
        <v>1536</v>
      </c>
      <c r="P6" s="10">
        <v>5059</v>
      </c>
      <c r="Q6" s="16">
        <v>-3523</v>
      </c>
      <c r="R6" s="15">
        <v>7.9314262108850564E-2</v>
      </c>
      <c r="S6" s="10">
        <v>573</v>
      </c>
      <c r="T6" s="10">
        <v>4237</v>
      </c>
      <c r="U6" s="10">
        <v>5634</v>
      </c>
      <c r="V6" s="14">
        <f>F6-INDEX('State measures'!$C$8:$D$8,MATCH(B6,'State measures'!$C$4:$D$4,0))</f>
        <v>-0.11905702637150029</v>
      </c>
      <c r="W6" s="12">
        <f>G6-INDEX('State measures'!$C$9:$D$9,MATCH(B6,'State measures'!$C$4:$D$4,0))</f>
        <v>-3.4772915578633136E-2</v>
      </c>
      <c r="X6" s="14">
        <f>H6-INDEX('State measures'!$C$10:$D$10,MATCH(B6,'State measures'!$C$4:$D$4,0))</f>
        <v>6.2765400303365482</v>
      </c>
      <c r="Y6" s="12">
        <f>I6-INDEX('State measures'!$C$11:$D$11,MATCH(B6,'State measures'!$C$4:$D$4,0))</f>
        <v>9.7245783258885221E-3</v>
      </c>
      <c r="Z6" s="12">
        <f>R6-INDEX('State measures'!$C$20:$D$20,MATCH(B6,'State measures'!$C$4:$D$4,0))</f>
        <v>-3.1355880776165634E-2</v>
      </c>
    </row>
    <row r="7" spans="1:26" x14ac:dyDescent="0.3">
      <c r="A7" s="2" t="s">
        <v>90</v>
      </c>
      <c r="B7" s="2" t="s">
        <v>16</v>
      </c>
      <c r="C7" s="10">
        <v>2974</v>
      </c>
      <c r="D7" s="10">
        <v>472806</v>
      </c>
      <c r="E7" s="10">
        <v>23417</v>
      </c>
      <c r="F7" s="13">
        <v>20.19071614638937</v>
      </c>
      <c r="G7" s="15">
        <v>3.9004707464694012E-2</v>
      </c>
      <c r="H7" s="13">
        <v>78.988735709482185</v>
      </c>
      <c r="I7" s="15">
        <v>0.47390261544904261</v>
      </c>
      <c r="J7" s="15">
        <v>3.7764667024675069E-3</v>
      </c>
      <c r="K7" s="15">
        <v>0.94451916610625419</v>
      </c>
      <c r="L7" s="15">
        <v>0.97310020174848688</v>
      </c>
      <c r="M7" s="15">
        <v>0.88264963012777409</v>
      </c>
      <c r="N7" s="10">
        <v>21865</v>
      </c>
      <c r="O7" s="10">
        <v>2870</v>
      </c>
      <c r="P7" s="10">
        <v>4259</v>
      </c>
      <c r="Q7" s="16">
        <v>-1389</v>
      </c>
      <c r="R7" s="15">
        <v>0.1312600045735193</v>
      </c>
      <c r="S7" s="10">
        <v>848</v>
      </c>
      <c r="T7" s="10">
        <v>3654</v>
      </c>
      <c r="U7" s="10">
        <v>5078</v>
      </c>
      <c r="V7" s="14">
        <f>F7-INDEX('State measures'!$C$8:$D$8,MATCH(B7,'State measures'!$C$4:$D$4,0))</f>
        <v>0.81199809078118079</v>
      </c>
      <c r="W7" s="12">
        <f>G7-INDEX('State measures'!$C$9:$D$9,MATCH(B7,'State measures'!$C$4:$D$4,0))</f>
        <v>-1.7773905955705521E-2</v>
      </c>
      <c r="X7" s="14">
        <f>H7-INDEX('State measures'!$C$10:$D$10,MATCH(B7,'State measures'!$C$4:$D$4,0))</f>
        <v>-0.37817850451571644</v>
      </c>
      <c r="Y7" s="12">
        <f>I7-INDEX('State measures'!$C$11:$D$11,MATCH(B7,'State measures'!$C$4:$D$4,0))</f>
        <v>1.2560648763614846E-3</v>
      </c>
      <c r="Z7" s="12">
        <f>R7-INDEX('State measures'!$C$20:$D$20,MATCH(B7,'State measures'!$C$4:$D$4,0))</f>
        <v>2.1153461640173996E-2</v>
      </c>
    </row>
    <row r="8" spans="1:26" x14ac:dyDescent="0.3">
      <c r="A8" s="2" t="s">
        <v>90</v>
      </c>
      <c r="B8" s="2" t="s">
        <v>35</v>
      </c>
      <c r="C8" s="10">
        <v>2800</v>
      </c>
      <c r="D8" s="10">
        <v>431008</v>
      </c>
      <c r="E8" s="10">
        <v>22321</v>
      </c>
      <c r="F8" s="13">
        <v>19.309529142959541</v>
      </c>
      <c r="G8" s="15">
        <v>4.8928571428571432E-2</v>
      </c>
      <c r="H8" s="13">
        <v>79.091321428571419</v>
      </c>
      <c r="I8" s="15">
        <v>0.47455499665899481</v>
      </c>
      <c r="J8" s="15">
        <v>5.1712189138861109E-3</v>
      </c>
      <c r="K8" s="15">
        <v>0.9453571428571429</v>
      </c>
      <c r="L8" s="15">
        <v>0.96857142857142853</v>
      </c>
      <c r="M8" s="15">
        <v>0.87892857142857139</v>
      </c>
      <c r="N8" s="10">
        <v>20272</v>
      </c>
      <c r="O8" s="10">
        <v>2543</v>
      </c>
      <c r="P8" s="10">
        <v>4429</v>
      </c>
      <c r="Q8" s="16">
        <v>-1886</v>
      </c>
      <c r="R8" s="15">
        <v>0.12544396211523279</v>
      </c>
      <c r="S8" s="10">
        <v>810</v>
      </c>
      <c r="T8" s="10">
        <v>3616</v>
      </c>
      <c r="U8" s="10">
        <v>5389</v>
      </c>
      <c r="V8" s="14">
        <f>F8-INDEX('State measures'!$C$8:$D$8,MATCH(B8,'State measures'!$C$4:$D$4,0))</f>
        <v>0.43996935675748006</v>
      </c>
      <c r="W8" s="12">
        <f>G8-INDEX('State measures'!$C$9:$D$9,MATCH(B8,'State measures'!$C$4:$D$4,0))</f>
        <v>-1.8314545547513411E-2</v>
      </c>
      <c r="X8" s="14">
        <f>H8-INDEX('State measures'!$C$10:$D$10,MATCH(B8,'State measures'!$C$4:$D$4,0))</f>
        <v>-0.67233582839166672</v>
      </c>
      <c r="Y8" s="12">
        <f>I8-INDEX('State measures'!$C$11:$D$11,MATCH(B8,'State measures'!$C$4:$D$4,0))</f>
        <v>5.939233606472305E-5</v>
      </c>
      <c r="Z8" s="12">
        <f>R8-INDEX('State measures'!$C$20:$D$20,MATCH(B8,'State measures'!$C$4:$D$4,0))</f>
        <v>1.4773819230216589E-2</v>
      </c>
    </row>
    <row r="9" spans="1:26" x14ac:dyDescent="0.3">
      <c r="A9" s="2" t="s">
        <v>91</v>
      </c>
      <c r="B9" s="2" t="s">
        <v>16</v>
      </c>
      <c r="C9" s="10">
        <v>2143</v>
      </c>
      <c r="D9" s="10">
        <v>259514</v>
      </c>
      <c r="E9" s="10">
        <v>11628</v>
      </c>
      <c r="F9" s="13">
        <v>22.318025455796349</v>
      </c>
      <c r="G9" s="15">
        <v>7.1395240317312175E-2</v>
      </c>
      <c r="H9" s="13">
        <v>77.525664955669626</v>
      </c>
      <c r="I9" s="15">
        <v>0.47819770802345918</v>
      </c>
      <c r="J9" s="15">
        <v>-1.1167878208789559E-2</v>
      </c>
      <c r="K9" s="15">
        <v>0.894540363975735</v>
      </c>
      <c r="L9" s="15">
        <v>0.98693420438637425</v>
      </c>
      <c r="M9" s="15">
        <v>0.86980867942137186</v>
      </c>
      <c r="N9" s="10">
        <v>12186</v>
      </c>
      <c r="O9" s="10">
        <v>1871</v>
      </c>
      <c r="P9" s="10">
        <v>1251</v>
      </c>
      <c r="Q9" s="16">
        <v>620</v>
      </c>
      <c r="R9" s="15">
        <v>0.15353684556047931</v>
      </c>
      <c r="S9" s="10">
        <v>703</v>
      </c>
      <c r="T9" s="10">
        <v>1924</v>
      </c>
      <c r="U9" s="10">
        <v>2740</v>
      </c>
      <c r="V9" s="14">
        <f>F9-INDEX('State measures'!$C$8:$D$8,MATCH(B9,'State measures'!$C$4:$D$4,0))</f>
        <v>2.9393074001881594</v>
      </c>
      <c r="W9" s="12">
        <f>G9-INDEX('State measures'!$C$9:$D$9,MATCH(B9,'State measures'!$C$4:$D$4,0))</f>
        <v>1.4616626896912642E-2</v>
      </c>
      <c r="X9" s="14">
        <f>H9-INDEX('State measures'!$C$10:$D$10,MATCH(B9,'State measures'!$C$4:$D$4,0))</f>
        <v>-1.8412492583282756</v>
      </c>
      <c r="Y9" s="12">
        <f>I9-INDEX('State measures'!$C$11:$D$11,MATCH(B9,'State measures'!$C$4:$D$4,0))</f>
        <v>5.5511574507780548E-3</v>
      </c>
      <c r="Z9" s="12">
        <f>R9-INDEX('State measures'!$C$20:$D$20,MATCH(B9,'State measures'!$C$4:$D$4,0))</f>
        <v>4.3430302627134001E-2</v>
      </c>
    </row>
    <row r="10" spans="1:26" x14ac:dyDescent="0.3">
      <c r="A10" s="2" t="s">
        <v>91</v>
      </c>
      <c r="B10" s="2" t="s">
        <v>35</v>
      </c>
      <c r="C10" s="10">
        <v>2162</v>
      </c>
      <c r="D10" s="10">
        <v>254277</v>
      </c>
      <c r="E10" s="10">
        <v>11254</v>
      </c>
      <c r="F10" s="13">
        <v>22.594366447485339</v>
      </c>
      <c r="G10" s="15">
        <v>0.1003700277520814</v>
      </c>
      <c r="H10" s="13">
        <v>78.122294172062922</v>
      </c>
      <c r="I10" s="15">
        <v>0.48094007715994758</v>
      </c>
      <c r="J10" s="15">
        <v>-3.3473962834202342E-3</v>
      </c>
      <c r="K10" s="15">
        <v>0.89962997224791863</v>
      </c>
      <c r="L10" s="15">
        <v>0.97918593894542094</v>
      </c>
      <c r="M10" s="15">
        <v>0.866327474560592</v>
      </c>
      <c r="N10" s="10">
        <v>12193</v>
      </c>
      <c r="O10" s="10">
        <v>2147</v>
      </c>
      <c r="P10" s="10">
        <v>1142</v>
      </c>
      <c r="Q10" s="16">
        <v>1005</v>
      </c>
      <c r="R10" s="15">
        <v>0.1760846387271385</v>
      </c>
      <c r="S10" s="10">
        <v>817</v>
      </c>
      <c r="T10" s="10">
        <v>1604</v>
      </c>
      <c r="U10" s="10">
        <v>2566</v>
      </c>
      <c r="V10" s="14">
        <f>F10-INDEX('State measures'!$C$8:$D$8,MATCH(B10,'State measures'!$C$4:$D$4,0))</f>
        <v>3.724806661283278</v>
      </c>
      <c r="W10" s="12">
        <f>G10-INDEX('State measures'!$C$9:$D$9,MATCH(B10,'State measures'!$C$4:$D$4,0))</f>
        <v>3.3126910775996554E-2</v>
      </c>
      <c r="X10" s="14">
        <f>H10-INDEX('State measures'!$C$10:$D$10,MATCH(B10,'State measures'!$C$4:$D$4,0))</f>
        <v>-1.6413630849001635</v>
      </c>
      <c r="Y10" s="12">
        <f>I10-INDEX('State measures'!$C$11:$D$11,MATCH(B10,'State measures'!$C$4:$D$4,0))</f>
        <v>6.4444728370174897E-3</v>
      </c>
      <c r="Z10" s="12">
        <f>R10-INDEX('State measures'!$C$20:$D$20,MATCH(B10,'State measures'!$C$4:$D$4,0))</f>
        <v>6.5414495842122306E-2</v>
      </c>
    </row>
    <row r="11" spans="1:26" x14ac:dyDescent="0.3">
      <c r="A11" s="2" t="s">
        <v>92</v>
      </c>
      <c r="B11" s="2" t="s">
        <v>16</v>
      </c>
      <c r="C11" s="10">
        <v>3918</v>
      </c>
      <c r="D11" s="10">
        <v>443396</v>
      </c>
      <c r="E11" s="10">
        <v>20911</v>
      </c>
      <c r="F11" s="13">
        <v>21.20395963846779</v>
      </c>
      <c r="G11" s="15">
        <v>0.16717713118938229</v>
      </c>
      <c r="H11" s="13">
        <v>64.092011230219498</v>
      </c>
      <c r="I11" s="15">
        <v>0.48480816245523189</v>
      </c>
      <c r="J11" s="15">
        <v>1.365694684650581E-2</v>
      </c>
      <c r="K11" s="15">
        <v>0.66028586013272073</v>
      </c>
      <c r="L11" s="15">
        <v>0.97498723838693213</v>
      </c>
      <c r="M11" s="15">
        <v>0.7702909647779479</v>
      </c>
      <c r="N11" s="10">
        <v>19634</v>
      </c>
      <c r="O11" s="10">
        <v>2408</v>
      </c>
      <c r="P11" s="10">
        <v>3476</v>
      </c>
      <c r="Q11" s="16">
        <v>-1068</v>
      </c>
      <c r="R11" s="15">
        <v>0.12264439238056429</v>
      </c>
      <c r="S11" s="10">
        <v>1120</v>
      </c>
      <c r="T11" s="10">
        <v>4420</v>
      </c>
      <c r="U11" s="10">
        <v>6343</v>
      </c>
      <c r="V11" s="14">
        <f>F11-INDEX('State measures'!$C$8:$D$8,MATCH(B11,'State measures'!$C$4:$D$4,0))</f>
        <v>1.8252415828596007</v>
      </c>
      <c r="W11" s="12">
        <f>G11-INDEX('State measures'!$C$9:$D$9,MATCH(B11,'State measures'!$C$4:$D$4,0))</f>
        <v>0.11039851776898277</v>
      </c>
      <c r="X11" s="14">
        <f>H11-INDEX('State measures'!$C$10:$D$10,MATCH(B11,'State measures'!$C$4:$D$4,0))</f>
        <v>-15.274902983778404</v>
      </c>
      <c r="Y11" s="12">
        <f>I11-INDEX('State measures'!$C$11:$D$11,MATCH(B11,'State measures'!$C$4:$D$4,0))</f>
        <v>1.2161611882550771E-2</v>
      </c>
      <c r="Z11" s="12">
        <f>R11-INDEX('State measures'!$C$20:$D$20,MATCH(B11,'State measures'!$C$4:$D$4,0))</f>
        <v>1.2537849447218988E-2</v>
      </c>
    </row>
    <row r="12" spans="1:26" x14ac:dyDescent="0.3">
      <c r="A12" s="2" t="s">
        <v>92</v>
      </c>
      <c r="B12" s="2" t="s">
        <v>35</v>
      </c>
      <c r="C12" s="10">
        <v>3922</v>
      </c>
      <c r="D12" s="10">
        <v>432232</v>
      </c>
      <c r="E12" s="10">
        <v>20922</v>
      </c>
      <c r="F12" s="13">
        <v>20.659210400535319</v>
      </c>
      <c r="G12" s="15">
        <v>0.16522182559918411</v>
      </c>
      <c r="H12" s="13">
        <v>64.491942886282587</v>
      </c>
      <c r="I12" s="15">
        <v>0.48501036480408671</v>
      </c>
      <c r="J12" s="15">
        <v>1.7503781179101559E-2</v>
      </c>
      <c r="K12" s="15">
        <v>0.69760326364099945</v>
      </c>
      <c r="L12" s="15">
        <v>0.96634370219275878</v>
      </c>
      <c r="M12" s="15">
        <v>0.75497195308516063</v>
      </c>
      <c r="N12" s="10">
        <v>19573</v>
      </c>
      <c r="O12" s="10">
        <v>2372</v>
      </c>
      <c r="P12" s="10">
        <v>3499</v>
      </c>
      <c r="Q12" s="16">
        <v>-1127</v>
      </c>
      <c r="R12" s="15">
        <v>0.1211873499208093</v>
      </c>
      <c r="S12" s="10">
        <v>1137</v>
      </c>
      <c r="T12" s="10">
        <v>4334</v>
      </c>
      <c r="U12" s="10">
        <v>6659</v>
      </c>
      <c r="V12" s="14">
        <f>F12-INDEX('State measures'!$C$8:$D$8,MATCH(B12,'State measures'!$C$4:$D$4,0))</f>
        <v>1.789650614333258</v>
      </c>
      <c r="W12" s="12">
        <f>G12-INDEX('State measures'!$C$9:$D$9,MATCH(B12,'State measures'!$C$4:$D$4,0))</f>
        <v>9.7978708623099264E-2</v>
      </c>
      <c r="X12" s="14">
        <f>H12-INDEX('State measures'!$C$10:$D$10,MATCH(B12,'State measures'!$C$4:$D$4,0))</f>
        <v>-15.271714370680499</v>
      </c>
      <c r="Y12" s="12">
        <f>I12-INDEX('State measures'!$C$11:$D$11,MATCH(B12,'State measures'!$C$4:$D$4,0))</f>
        <v>1.0514760481156626E-2</v>
      </c>
      <c r="Z12" s="12">
        <f>R12-INDEX('State measures'!$C$20:$D$20,MATCH(B12,'State measures'!$C$4:$D$4,0))</f>
        <v>1.0517207035793105E-2</v>
      </c>
    </row>
    <row r="13" spans="1:26" x14ac:dyDescent="0.3">
      <c r="A13" s="2" t="s">
        <v>93</v>
      </c>
      <c r="B13" s="2" t="s">
        <v>16</v>
      </c>
      <c r="C13" s="10">
        <v>2125</v>
      </c>
      <c r="D13" s="10">
        <v>248091</v>
      </c>
      <c r="E13" s="10">
        <v>13371</v>
      </c>
      <c r="F13" s="13">
        <v>18.554408795153691</v>
      </c>
      <c r="G13" s="15">
        <v>9.741176470588235E-2</v>
      </c>
      <c r="H13" s="13">
        <v>68.276470588235298</v>
      </c>
      <c r="I13" s="15">
        <v>0.47912661080006941</v>
      </c>
      <c r="J13" s="15">
        <v>2.1979231364891989E-3</v>
      </c>
      <c r="K13" s="15">
        <v>0.7364705882352941</v>
      </c>
      <c r="L13" s="15">
        <v>0.94117647058823528</v>
      </c>
      <c r="M13" s="15">
        <v>0.73835294117647055</v>
      </c>
      <c r="N13" s="10">
        <v>12164</v>
      </c>
      <c r="O13" s="10">
        <v>1285</v>
      </c>
      <c r="P13" s="10">
        <v>2421</v>
      </c>
      <c r="Q13" s="16">
        <v>-1136</v>
      </c>
      <c r="R13" s="15">
        <v>0.1056395922393949</v>
      </c>
      <c r="S13" s="10">
        <v>533</v>
      </c>
      <c r="T13" s="10">
        <v>2739</v>
      </c>
      <c r="U13" s="10">
        <v>3937</v>
      </c>
      <c r="V13" s="14">
        <f>F13-INDEX('State measures'!$C$8:$D$8,MATCH(B13,'State measures'!$C$4:$D$4,0))</f>
        <v>-0.82430926045449837</v>
      </c>
      <c r="W13" s="12">
        <f>G13-INDEX('State measures'!$C$9:$D$9,MATCH(B13,'State measures'!$C$4:$D$4,0))</f>
        <v>4.0633151285482817E-2</v>
      </c>
      <c r="X13" s="14">
        <f>H13-INDEX('State measures'!$C$10:$D$10,MATCH(B13,'State measures'!$C$4:$D$4,0))</f>
        <v>-11.090443625762603</v>
      </c>
      <c r="Y13" s="12">
        <f>I13-INDEX('State measures'!$C$11:$D$11,MATCH(B13,'State measures'!$C$4:$D$4,0))</f>
        <v>6.4800602273882846E-3</v>
      </c>
      <c r="Z13" s="12">
        <f>R13-INDEX('State measures'!$C$20:$D$20,MATCH(B13,'State measures'!$C$4:$D$4,0))</f>
        <v>-4.4669506939504083E-3</v>
      </c>
    </row>
    <row r="14" spans="1:26" x14ac:dyDescent="0.3">
      <c r="A14" s="2" t="s">
        <v>93</v>
      </c>
      <c r="B14" s="2" t="s">
        <v>35</v>
      </c>
      <c r="C14" s="10">
        <v>2112</v>
      </c>
      <c r="D14" s="10">
        <v>237600</v>
      </c>
      <c r="E14" s="10">
        <v>13410</v>
      </c>
      <c r="F14" s="13">
        <v>17.718120805369129</v>
      </c>
      <c r="G14" s="15">
        <v>9.2803030303030304E-2</v>
      </c>
      <c r="H14" s="13">
        <v>68.485890151515164</v>
      </c>
      <c r="I14" s="15">
        <v>0.48061868686868692</v>
      </c>
      <c r="J14" s="15">
        <v>7.7383639082431177E-3</v>
      </c>
      <c r="K14" s="15">
        <v>0.74053030303030298</v>
      </c>
      <c r="L14" s="15">
        <v>0.94223484848484851</v>
      </c>
      <c r="M14" s="15">
        <v>0.72443181818181823</v>
      </c>
      <c r="N14" s="10">
        <v>11952</v>
      </c>
      <c r="O14" s="10">
        <v>1157</v>
      </c>
      <c r="P14" s="10">
        <v>2536</v>
      </c>
      <c r="Q14" s="16">
        <v>-1379</v>
      </c>
      <c r="R14" s="15">
        <v>9.6803882195448457E-2</v>
      </c>
      <c r="S14" s="10">
        <v>525</v>
      </c>
      <c r="T14" s="10">
        <v>2863</v>
      </c>
      <c r="U14" s="10">
        <v>4379</v>
      </c>
      <c r="V14" s="14">
        <f>F14-INDEX('State measures'!$C$8:$D$8,MATCH(B14,'State measures'!$C$4:$D$4,0))</f>
        <v>-1.1514389808329319</v>
      </c>
      <c r="W14" s="12">
        <f>G14-INDEX('State measures'!$C$9:$D$9,MATCH(B14,'State measures'!$C$4:$D$4,0))</f>
        <v>2.555991332694546E-2</v>
      </c>
      <c r="X14" s="14">
        <f>H14-INDEX('State measures'!$C$10:$D$10,MATCH(B14,'State measures'!$C$4:$D$4,0))</f>
        <v>-11.277767105447921</v>
      </c>
      <c r="Y14" s="12">
        <f>I14-INDEX('State measures'!$C$11:$D$11,MATCH(B14,'State measures'!$C$4:$D$4,0))</f>
        <v>6.1230825457568305E-3</v>
      </c>
      <c r="Z14" s="12">
        <f>R14-INDEX('State measures'!$C$20:$D$20,MATCH(B14,'State measures'!$C$4:$D$4,0))</f>
        <v>-1.3866260689567741E-2</v>
      </c>
    </row>
    <row r="15" spans="1:26" x14ac:dyDescent="0.3">
      <c r="A15" s="2" t="s">
        <v>94</v>
      </c>
      <c r="B15" s="2" t="s">
        <v>16</v>
      </c>
      <c r="C15" s="10">
        <v>3753</v>
      </c>
      <c r="D15" s="10">
        <v>440614</v>
      </c>
      <c r="E15" s="10">
        <v>18620</v>
      </c>
      <c r="F15" s="13">
        <v>23.66348012889366</v>
      </c>
      <c r="G15" s="15">
        <v>8.5265121236344263E-2</v>
      </c>
      <c r="H15" s="13">
        <v>76.791899813482544</v>
      </c>
      <c r="I15" s="15">
        <v>0.45979701053529848</v>
      </c>
      <c r="J15" s="15">
        <v>-3.0133903028245201E-2</v>
      </c>
      <c r="K15" s="15">
        <v>0.90301092459365839</v>
      </c>
      <c r="L15" s="15">
        <v>0.9768185451638689</v>
      </c>
      <c r="M15" s="15">
        <v>0.85638156141753263</v>
      </c>
      <c r="N15" s="10">
        <v>20480</v>
      </c>
      <c r="O15" s="10">
        <v>3695</v>
      </c>
      <c r="P15" s="10">
        <v>1753</v>
      </c>
      <c r="Q15" s="16">
        <v>1942</v>
      </c>
      <c r="R15" s="15">
        <v>0.180419921875</v>
      </c>
      <c r="S15" s="10">
        <v>1270</v>
      </c>
      <c r="T15" s="10">
        <v>2836</v>
      </c>
      <c r="U15" s="10">
        <v>4082</v>
      </c>
      <c r="V15" s="14">
        <f>F15-INDEX('State measures'!$C$8:$D$8,MATCH(B15,'State measures'!$C$4:$D$4,0))</f>
        <v>4.2847620732854708</v>
      </c>
      <c r="W15" s="12">
        <f>G15-INDEX('State measures'!$C$9:$D$9,MATCH(B15,'State measures'!$C$4:$D$4,0))</f>
        <v>2.848650781594473E-2</v>
      </c>
      <c r="X15" s="14">
        <f>H15-INDEX('State measures'!$C$10:$D$10,MATCH(B15,'State measures'!$C$4:$D$4,0))</f>
        <v>-2.5750144005153572</v>
      </c>
      <c r="Y15" s="12">
        <f>I15-INDEX('State measures'!$C$11:$D$11,MATCH(B15,'State measures'!$C$4:$D$4,0))</f>
        <v>-1.2849540037382645E-2</v>
      </c>
      <c r="Z15" s="12">
        <f>R15-INDEX('State measures'!$C$20:$D$20,MATCH(B15,'State measures'!$C$4:$D$4,0))</f>
        <v>7.0313378941654694E-2</v>
      </c>
    </row>
    <row r="16" spans="1:26" x14ac:dyDescent="0.3">
      <c r="A16" s="2" t="s">
        <v>94</v>
      </c>
      <c r="B16" s="2" t="s">
        <v>35</v>
      </c>
      <c r="C16" s="10">
        <v>3765</v>
      </c>
      <c r="D16" s="10">
        <v>437411</v>
      </c>
      <c r="E16" s="10">
        <v>18201</v>
      </c>
      <c r="F16" s="13">
        <v>24.032250975221139</v>
      </c>
      <c r="G16" s="15">
        <v>0.1277556440903054</v>
      </c>
      <c r="H16" s="13">
        <v>77.471447543160707</v>
      </c>
      <c r="I16" s="15">
        <v>0.46154532007654131</v>
      </c>
      <c r="J16" s="15">
        <v>-2.6426974877004461E-2</v>
      </c>
      <c r="K16" s="15">
        <v>0.90199203187250998</v>
      </c>
      <c r="L16" s="15">
        <v>0.97131474103585658</v>
      </c>
      <c r="M16" s="15">
        <v>0.85498007968127487</v>
      </c>
      <c r="N16" s="10">
        <v>20554</v>
      </c>
      <c r="O16" s="10">
        <v>4125</v>
      </c>
      <c r="P16" s="10">
        <v>1675</v>
      </c>
      <c r="Q16" s="16">
        <v>2450</v>
      </c>
      <c r="R16" s="15">
        <v>0.2006908630923421</v>
      </c>
      <c r="S16" s="10">
        <v>1519</v>
      </c>
      <c r="T16" s="10">
        <v>2557</v>
      </c>
      <c r="U16" s="10">
        <v>3929</v>
      </c>
      <c r="V16" s="14">
        <f>F16-INDEX('State measures'!$C$8:$D$8,MATCH(B16,'State measures'!$C$4:$D$4,0))</f>
        <v>5.1626911890190783</v>
      </c>
      <c r="W16" s="12">
        <f>G16-INDEX('State measures'!$C$9:$D$9,MATCH(B16,'State measures'!$C$4:$D$4,0))</f>
        <v>6.051252711422056E-2</v>
      </c>
      <c r="X16" s="14">
        <f>H16-INDEX('State measures'!$C$10:$D$10,MATCH(B16,'State measures'!$C$4:$D$4,0))</f>
        <v>-2.2922097138023787</v>
      </c>
      <c r="Y16" s="12">
        <f>I16-INDEX('State measures'!$C$11:$D$11,MATCH(B16,'State measures'!$C$4:$D$4,0))</f>
        <v>-1.2950284246388777E-2</v>
      </c>
      <c r="Z16" s="12">
        <f>R16-INDEX('State measures'!$C$20:$D$20,MATCH(B16,'State measures'!$C$4:$D$4,0))</f>
        <v>9.0020720207325905E-2</v>
      </c>
    </row>
    <row r="17" spans="1:26" x14ac:dyDescent="0.3">
      <c r="A17" s="2" t="s">
        <v>95</v>
      </c>
      <c r="B17" s="2" t="s">
        <v>16</v>
      </c>
      <c r="C17" s="10">
        <v>1680</v>
      </c>
      <c r="D17" s="10">
        <v>253707</v>
      </c>
      <c r="E17" s="10">
        <v>12896</v>
      </c>
      <c r="F17" s="13">
        <v>19.673309553349881</v>
      </c>
      <c r="G17" s="15">
        <v>3.273809523809524E-2</v>
      </c>
      <c r="H17" s="13">
        <v>84.851190476190482</v>
      </c>
      <c r="I17" s="15">
        <v>0.47951376982109278</v>
      </c>
      <c r="J17" s="15">
        <v>-9.8333930907684719E-4</v>
      </c>
      <c r="K17" s="15">
        <v>0.97559523809523807</v>
      </c>
      <c r="L17" s="15">
        <v>0.99523809523809526</v>
      </c>
      <c r="M17" s="15">
        <v>0.91130952380952379</v>
      </c>
      <c r="N17" s="10">
        <v>11205</v>
      </c>
      <c r="O17" s="10">
        <v>791</v>
      </c>
      <c r="P17" s="10">
        <v>2331</v>
      </c>
      <c r="Q17" s="16">
        <v>-1540</v>
      </c>
      <c r="R17" s="15">
        <v>7.0593485051316379E-2</v>
      </c>
      <c r="S17" s="10">
        <v>345</v>
      </c>
      <c r="T17" s="10">
        <v>2151</v>
      </c>
      <c r="U17" s="10">
        <v>2734</v>
      </c>
      <c r="V17" s="14">
        <f>F17-INDEX('State measures'!$C$8:$D$8,MATCH(B17,'State measures'!$C$4:$D$4,0))</f>
        <v>0.29459149774169191</v>
      </c>
      <c r="W17" s="12">
        <f>G17-INDEX('State measures'!$C$9:$D$9,MATCH(B17,'State measures'!$C$4:$D$4,0))</f>
        <v>-2.4040518182304293E-2</v>
      </c>
      <c r="X17" s="14">
        <f>H17-INDEX('State measures'!$C$10:$D$10,MATCH(B17,'State measures'!$C$4:$D$4,0))</f>
        <v>5.48427626219258</v>
      </c>
      <c r="Y17" s="12">
        <f>I17-INDEX('State measures'!$C$11:$D$11,MATCH(B17,'State measures'!$C$4:$D$4,0))</f>
        <v>6.8672192484116601E-3</v>
      </c>
      <c r="Z17" s="12">
        <f>R17-INDEX('State measures'!$C$20:$D$20,MATCH(B17,'State measures'!$C$4:$D$4,0))</f>
        <v>-3.9513057882028926E-2</v>
      </c>
    </row>
    <row r="18" spans="1:26" x14ac:dyDescent="0.3">
      <c r="A18" s="2" t="s">
        <v>95</v>
      </c>
      <c r="B18" s="2" t="s">
        <v>35</v>
      </c>
      <c r="C18" s="10">
        <v>1681</v>
      </c>
      <c r="D18" s="10">
        <v>250658</v>
      </c>
      <c r="E18" s="10">
        <v>12668</v>
      </c>
      <c r="F18" s="13">
        <v>19.786706662456581</v>
      </c>
      <c r="G18" s="15">
        <v>4.878048780487805E-2</v>
      </c>
      <c r="H18" s="13">
        <v>85.242593694229612</v>
      </c>
      <c r="I18" s="15">
        <v>0.48176000765983928</v>
      </c>
      <c r="J18" s="15">
        <v>1.2980122137183361E-3</v>
      </c>
      <c r="K18" s="15">
        <v>0.97382510410469958</v>
      </c>
      <c r="L18" s="15">
        <v>0.99405116002379534</v>
      </c>
      <c r="M18" s="15">
        <v>0.90541344437834625</v>
      </c>
      <c r="N18" s="10">
        <v>11163</v>
      </c>
      <c r="O18" s="10">
        <v>893</v>
      </c>
      <c r="P18" s="10">
        <v>2227</v>
      </c>
      <c r="Q18" s="16">
        <v>-1334</v>
      </c>
      <c r="R18" s="15">
        <v>7.999641673385291E-2</v>
      </c>
      <c r="S18" s="10">
        <v>412</v>
      </c>
      <c r="T18" s="10">
        <v>1968</v>
      </c>
      <c r="U18" s="10">
        <v>2732</v>
      </c>
      <c r="V18" s="14">
        <f>F18-INDEX('State measures'!$C$8:$D$8,MATCH(B18,'State measures'!$C$4:$D$4,0))</f>
        <v>0.91714687625452029</v>
      </c>
      <c r="W18" s="12">
        <f>G18-INDEX('State measures'!$C$9:$D$9,MATCH(B18,'State measures'!$C$4:$D$4,0))</f>
        <v>-1.8462629171206793E-2</v>
      </c>
      <c r="X18" s="14">
        <f>H18-INDEX('State measures'!$C$10:$D$10,MATCH(B18,'State measures'!$C$4:$D$4,0))</f>
        <v>5.4789364372665261</v>
      </c>
      <c r="Y18" s="12">
        <f>I18-INDEX('State measures'!$C$11:$D$11,MATCH(B18,'State measures'!$C$4:$D$4,0))</f>
        <v>7.2644033369091976E-3</v>
      </c>
      <c r="Z18" s="12">
        <f>R18-INDEX('State measures'!$C$20:$D$20,MATCH(B18,'State measures'!$C$4:$D$4,0))</f>
        <v>-3.0673726151163289E-2</v>
      </c>
    </row>
    <row r="19" spans="1:26" x14ac:dyDescent="0.3">
      <c r="A19" s="2" t="s">
        <v>96</v>
      </c>
      <c r="B19" s="2" t="s">
        <v>16</v>
      </c>
      <c r="C19" s="10">
        <v>1873</v>
      </c>
      <c r="D19" s="10">
        <v>330493</v>
      </c>
      <c r="E19" s="10">
        <v>16414</v>
      </c>
      <c r="F19" s="13">
        <v>20.134823930790791</v>
      </c>
      <c r="G19" s="15">
        <v>1.5483182060864921E-2</v>
      </c>
      <c r="H19" s="13">
        <v>78.650560597971165</v>
      </c>
      <c r="I19" s="15">
        <v>0.46509305794676442</v>
      </c>
      <c r="J19" s="15">
        <v>-5.8718109900526838E-3</v>
      </c>
      <c r="K19" s="15">
        <v>0.93326214628937532</v>
      </c>
      <c r="L19" s="15">
        <v>0.98825413774693005</v>
      </c>
      <c r="M19" s="15">
        <v>0.87453283502402568</v>
      </c>
      <c r="N19" s="10">
        <v>14847</v>
      </c>
      <c r="O19" s="10">
        <v>1706</v>
      </c>
      <c r="P19" s="10">
        <v>3221</v>
      </c>
      <c r="Q19" s="16">
        <v>-1515</v>
      </c>
      <c r="R19" s="15">
        <v>0.1149053680878292</v>
      </c>
      <c r="S19" s="10">
        <v>440</v>
      </c>
      <c r="T19" s="10">
        <v>2800</v>
      </c>
      <c r="U19" s="10">
        <v>3764</v>
      </c>
      <c r="V19" s="14">
        <f>F19-INDEX('State measures'!$C$8:$D$8,MATCH(B19,'State measures'!$C$4:$D$4,0))</f>
        <v>0.75610587518260175</v>
      </c>
      <c r="W19" s="12">
        <f>G19-INDEX('State measures'!$C$9:$D$9,MATCH(B19,'State measures'!$C$4:$D$4,0))</f>
        <v>-4.1295431359534611E-2</v>
      </c>
      <c r="X19" s="14">
        <f>H19-INDEX('State measures'!$C$10:$D$10,MATCH(B19,'State measures'!$C$4:$D$4,0))</f>
        <v>-0.71635361602673697</v>
      </c>
      <c r="Y19" s="12">
        <f>I19-INDEX('State measures'!$C$11:$D$11,MATCH(B19,'State measures'!$C$4:$D$4,0))</f>
        <v>-7.5534926259167023E-3</v>
      </c>
      <c r="Z19" s="12">
        <f>R19-INDEX('State measures'!$C$20:$D$20,MATCH(B19,'State measures'!$C$4:$D$4,0))</f>
        <v>4.7988251544838906E-3</v>
      </c>
    </row>
    <row r="20" spans="1:26" x14ac:dyDescent="0.3">
      <c r="A20" s="2" t="s">
        <v>96</v>
      </c>
      <c r="B20" s="2" t="s">
        <v>35</v>
      </c>
      <c r="C20" s="10">
        <v>1880</v>
      </c>
      <c r="D20" s="10">
        <v>317059</v>
      </c>
      <c r="E20" s="10">
        <v>16609</v>
      </c>
      <c r="F20" s="13">
        <v>19.089589981335418</v>
      </c>
      <c r="G20" s="15">
        <v>8.5106382978723406E-3</v>
      </c>
      <c r="H20" s="13">
        <v>78.909734042553197</v>
      </c>
      <c r="I20" s="15">
        <v>0.46869510091181771</v>
      </c>
      <c r="J20" s="15">
        <v>-9.566866377871408E-4</v>
      </c>
      <c r="K20" s="15">
        <v>0.93351063829787229</v>
      </c>
      <c r="L20" s="15">
        <v>0.9813829787234043</v>
      </c>
      <c r="M20" s="15">
        <v>0.87393617021276593</v>
      </c>
      <c r="N20" s="10">
        <v>14668</v>
      </c>
      <c r="O20" s="10">
        <v>1584</v>
      </c>
      <c r="P20" s="10">
        <v>3471</v>
      </c>
      <c r="Q20" s="16">
        <v>-1887</v>
      </c>
      <c r="R20" s="15">
        <v>0.1079901827106627</v>
      </c>
      <c r="S20" s="10">
        <v>410</v>
      </c>
      <c r="T20" s="10">
        <v>2910</v>
      </c>
      <c r="U20" s="10">
        <v>4099</v>
      </c>
      <c r="V20" s="14">
        <f>F20-INDEX('State measures'!$C$8:$D$8,MATCH(B20,'State measures'!$C$4:$D$4,0))</f>
        <v>0.22003019513335786</v>
      </c>
      <c r="W20" s="12">
        <f>G20-INDEX('State measures'!$C$9:$D$9,MATCH(B20,'State measures'!$C$4:$D$4,0))</f>
        <v>-5.8732478678212505E-2</v>
      </c>
      <c r="X20" s="14">
        <f>H20-INDEX('State measures'!$C$10:$D$10,MATCH(B20,'State measures'!$C$4:$D$4,0))</f>
        <v>-0.85392321440988894</v>
      </c>
      <c r="Y20" s="12">
        <f>I20-INDEX('State measures'!$C$11:$D$11,MATCH(B20,'State measures'!$C$4:$D$4,0))</f>
        <v>-5.8005034111123788E-3</v>
      </c>
      <c r="Z20" s="12">
        <f>R20-INDEX('State measures'!$C$20:$D$20,MATCH(B20,'State measures'!$C$4:$D$4,0))</f>
        <v>-2.679960174353499E-3</v>
      </c>
    </row>
    <row r="21" spans="1:26" x14ac:dyDescent="0.3">
      <c r="A21" s="2" t="s">
        <v>97</v>
      </c>
      <c r="B21" s="2" t="s">
        <v>16</v>
      </c>
      <c r="C21" s="10">
        <v>3860</v>
      </c>
      <c r="D21" s="10">
        <v>488245</v>
      </c>
      <c r="E21" s="10">
        <v>26093</v>
      </c>
      <c r="F21" s="13">
        <v>18.71172345073391</v>
      </c>
      <c r="G21" s="15">
        <v>4.3005181347150263E-2</v>
      </c>
      <c r="H21" s="13">
        <v>82.733160621761655</v>
      </c>
      <c r="I21" s="15">
        <v>0.48563528556360019</v>
      </c>
      <c r="J21" s="15">
        <v>2.6300507924312821E-2</v>
      </c>
      <c r="K21" s="15">
        <v>0.977979274611399</v>
      </c>
      <c r="L21" s="15">
        <v>0.99533678756476685</v>
      </c>
      <c r="M21" s="15">
        <v>0.90466321243523318</v>
      </c>
      <c r="N21" s="10">
        <v>22874</v>
      </c>
      <c r="O21" s="10">
        <v>1908</v>
      </c>
      <c r="P21" s="10">
        <v>4723</v>
      </c>
      <c r="Q21" s="16">
        <v>-2815</v>
      </c>
      <c r="R21" s="15">
        <v>8.3413482556614502E-2</v>
      </c>
      <c r="S21" s="10">
        <v>757</v>
      </c>
      <c r="T21" s="10">
        <v>4762</v>
      </c>
      <c r="U21" s="10">
        <v>6193</v>
      </c>
      <c r="V21" s="14">
        <f>F21-INDEX('State measures'!$C$8:$D$8,MATCH(B21,'State measures'!$C$4:$D$4,0))</f>
        <v>-0.66699460487427942</v>
      </c>
      <c r="W21" s="12">
        <f>G21-INDEX('State measures'!$C$9:$D$9,MATCH(B21,'State measures'!$C$4:$D$4,0))</f>
        <v>-1.377343207324927E-2</v>
      </c>
      <c r="X21" s="14">
        <f>H21-INDEX('State measures'!$C$10:$D$10,MATCH(B21,'State measures'!$C$4:$D$4,0))</f>
        <v>3.3662464077637537</v>
      </c>
      <c r="Y21" s="12">
        <f>I21-INDEX('State measures'!$C$11:$D$11,MATCH(B21,'State measures'!$C$4:$D$4,0))</f>
        <v>1.2988734990919071E-2</v>
      </c>
      <c r="Z21" s="12">
        <f>R21-INDEX('State measures'!$C$20:$D$20,MATCH(B21,'State measures'!$C$4:$D$4,0))</f>
        <v>-2.6693060376730804E-2</v>
      </c>
    </row>
    <row r="22" spans="1:26" x14ac:dyDescent="0.3">
      <c r="A22" s="2" t="s">
        <v>97</v>
      </c>
      <c r="B22" s="2" t="s">
        <v>35</v>
      </c>
      <c r="C22" s="10">
        <v>3871</v>
      </c>
      <c r="D22" s="10">
        <v>480314</v>
      </c>
      <c r="E22" s="10">
        <v>26146</v>
      </c>
      <c r="F22" s="13">
        <v>18.37045819628241</v>
      </c>
      <c r="G22" s="15">
        <v>5.4766210281580983E-2</v>
      </c>
      <c r="H22" s="13">
        <v>83.216300697494205</v>
      </c>
      <c r="I22" s="15">
        <v>0.4872895647430639</v>
      </c>
      <c r="J22" s="15">
        <v>2.8422242294575632E-2</v>
      </c>
      <c r="K22" s="15">
        <v>0.98114182381813486</v>
      </c>
      <c r="L22" s="15">
        <v>0.99612503229139759</v>
      </c>
      <c r="M22" s="15">
        <v>0.90209248256264529</v>
      </c>
      <c r="N22" s="10">
        <v>22885</v>
      </c>
      <c r="O22" s="10">
        <v>1980</v>
      </c>
      <c r="P22" s="10">
        <v>4830</v>
      </c>
      <c r="Q22" s="16">
        <v>-2850</v>
      </c>
      <c r="R22" s="15">
        <v>8.6519554293205153E-2</v>
      </c>
      <c r="S22" s="10">
        <v>820</v>
      </c>
      <c r="T22" s="10">
        <v>4303</v>
      </c>
      <c r="U22" s="10">
        <v>6448</v>
      </c>
      <c r="V22" s="14">
        <f>F22-INDEX('State measures'!$C$8:$D$8,MATCH(B22,'State measures'!$C$4:$D$4,0))</f>
        <v>-0.49910158991965048</v>
      </c>
      <c r="W22" s="12">
        <f>G22-INDEX('State measures'!$C$9:$D$9,MATCH(B22,'State measures'!$C$4:$D$4,0))</f>
        <v>-1.247690669450386E-2</v>
      </c>
      <c r="X22" s="14">
        <f>H22-INDEX('State measures'!$C$10:$D$10,MATCH(B22,'State measures'!$C$4:$D$4,0))</f>
        <v>3.4526434405311193</v>
      </c>
      <c r="Y22" s="12">
        <f>I22-INDEX('State measures'!$C$11:$D$11,MATCH(B22,'State measures'!$C$4:$D$4,0))</f>
        <v>1.279396042013381E-2</v>
      </c>
      <c r="Z22" s="12">
        <f>R22-INDEX('State measures'!$C$20:$D$20,MATCH(B22,'State measures'!$C$4:$D$4,0))</f>
        <v>-2.4150588591811045E-2</v>
      </c>
    </row>
    <row r="23" spans="1:26" x14ac:dyDescent="0.3">
      <c r="A23" s="2" t="s">
        <v>98</v>
      </c>
      <c r="B23" s="2" t="s">
        <v>16</v>
      </c>
      <c r="C23" s="10">
        <v>3618</v>
      </c>
      <c r="D23" s="10">
        <v>571261</v>
      </c>
      <c r="E23" s="10">
        <v>25657</v>
      </c>
      <c r="F23" s="13">
        <v>22.265307713294622</v>
      </c>
      <c r="G23" s="15">
        <v>4.3394140409065779E-2</v>
      </c>
      <c r="H23" s="13">
        <v>79.139027086788275</v>
      </c>
      <c r="I23" s="15">
        <v>0.47767657865669111</v>
      </c>
      <c r="J23" s="15">
        <v>1.3821912755992429E-3</v>
      </c>
      <c r="K23" s="15">
        <v>0.95052515201768928</v>
      </c>
      <c r="L23" s="15">
        <v>0.98977335544499723</v>
      </c>
      <c r="M23" s="15">
        <v>0.85489220563847435</v>
      </c>
      <c r="N23" s="10">
        <v>25526</v>
      </c>
      <c r="O23" s="10">
        <v>3847</v>
      </c>
      <c r="P23" s="10">
        <v>3719</v>
      </c>
      <c r="Q23" s="16">
        <v>128</v>
      </c>
      <c r="R23" s="15">
        <v>0.15070908093708379</v>
      </c>
      <c r="S23" s="10">
        <v>1186</v>
      </c>
      <c r="T23" s="10">
        <v>3892</v>
      </c>
      <c r="U23" s="10">
        <v>4751</v>
      </c>
      <c r="V23" s="14">
        <f>F23-INDEX('State measures'!$C$8:$D$8,MATCH(B23,'State measures'!$C$4:$D$4,0))</f>
        <v>2.8865896576864323</v>
      </c>
      <c r="W23" s="12">
        <f>G23-INDEX('State measures'!$C$9:$D$9,MATCH(B23,'State measures'!$C$4:$D$4,0))</f>
        <v>-1.3384473011333754E-2</v>
      </c>
      <c r="X23" s="14">
        <f>H23-INDEX('State measures'!$C$10:$D$10,MATCH(B23,'State measures'!$C$4:$D$4,0))</f>
        <v>-0.22788712720962678</v>
      </c>
      <c r="Y23" s="12">
        <f>I23-INDEX('State measures'!$C$11:$D$11,MATCH(B23,'State measures'!$C$4:$D$4,0))</f>
        <v>5.0300280840099854E-3</v>
      </c>
      <c r="Z23" s="12">
        <f>R23-INDEX('State measures'!$C$20:$D$20,MATCH(B23,'State measures'!$C$4:$D$4,0))</f>
        <v>4.0602538003738489E-2</v>
      </c>
    </row>
    <row r="24" spans="1:26" x14ac:dyDescent="0.3">
      <c r="A24" s="2" t="s">
        <v>98</v>
      </c>
      <c r="B24" s="2" t="s">
        <v>35</v>
      </c>
      <c r="C24" s="10">
        <v>3627</v>
      </c>
      <c r="D24" s="10">
        <v>546231</v>
      </c>
      <c r="E24" s="10">
        <v>25829</v>
      </c>
      <c r="F24" s="13">
        <v>21.147973208409152</v>
      </c>
      <c r="G24" s="15">
        <v>5.927763992280121E-2</v>
      </c>
      <c r="H24" s="13">
        <v>80.047063688999174</v>
      </c>
      <c r="I24" s="15">
        <v>0.48123046842819239</v>
      </c>
      <c r="J24" s="15">
        <v>5.97005519638244E-3</v>
      </c>
      <c r="K24" s="15">
        <v>0.95368072787427627</v>
      </c>
      <c r="L24" s="15">
        <v>0.98731734215605182</v>
      </c>
      <c r="M24" s="15">
        <v>0.86297215329473398</v>
      </c>
      <c r="N24" s="10">
        <v>25048</v>
      </c>
      <c r="O24" s="10">
        <v>3531</v>
      </c>
      <c r="P24" s="10">
        <v>4053</v>
      </c>
      <c r="Q24" s="16">
        <v>-522</v>
      </c>
      <c r="R24" s="15">
        <v>0.1409693388693708</v>
      </c>
      <c r="S24" s="10">
        <v>1176</v>
      </c>
      <c r="T24" s="10">
        <v>3957</v>
      </c>
      <c r="U24" s="10">
        <v>5027</v>
      </c>
      <c r="V24" s="14">
        <f>F24-INDEX('State measures'!$C$8:$D$8,MATCH(B24,'State measures'!$C$4:$D$4,0))</f>
        <v>2.2784134222070911</v>
      </c>
      <c r="W24" s="12">
        <f>G24-INDEX('State measures'!$C$9:$D$9,MATCH(B24,'State measures'!$C$4:$D$4,0))</f>
        <v>-7.965477053283633E-3</v>
      </c>
      <c r="X24" s="14">
        <f>H24-INDEX('State measures'!$C$10:$D$10,MATCH(B24,'State measures'!$C$4:$D$4,0))</f>
        <v>0.28340643203608806</v>
      </c>
      <c r="Y24" s="12">
        <f>I24-INDEX('State measures'!$C$11:$D$11,MATCH(B24,'State measures'!$C$4:$D$4,0))</f>
        <v>6.7348641052623059E-3</v>
      </c>
      <c r="Z24" s="12">
        <f>R24-INDEX('State measures'!$C$20:$D$20,MATCH(B24,'State measures'!$C$4:$D$4,0))</f>
        <v>3.0299195984354599E-2</v>
      </c>
    </row>
    <row r="25" spans="1:26" x14ac:dyDescent="0.3">
      <c r="A25" s="2" t="s">
        <v>99</v>
      </c>
      <c r="B25" s="2" t="s">
        <v>16</v>
      </c>
      <c r="C25" s="10">
        <v>1830</v>
      </c>
      <c r="D25" s="10">
        <v>228206</v>
      </c>
      <c r="E25" s="10">
        <v>13084</v>
      </c>
      <c r="F25" s="13">
        <v>17.441608070926321</v>
      </c>
      <c r="G25" s="15">
        <v>2.677595628415301E-2</v>
      </c>
      <c r="H25" s="13">
        <v>80.136612021857928</v>
      </c>
      <c r="I25" s="15">
        <v>0.4800136718578828</v>
      </c>
      <c r="J25" s="15">
        <v>-6.2401356727310184E-3</v>
      </c>
      <c r="K25" s="15">
        <v>0.94426229508196724</v>
      </c>
      <c r="L25" s="15">
        <v>0.99180327868852458</v>
      </c>
      <c r="M25" s="15">
        <v>0.86010928961748634</v>
      </c>
      <c r="N25" s="10">
        <v>10961</v>
      </c>
      <c r="O25" s="10">
        <v>604</v>
      </c>
      <c r="P25" s="10">
        <v>2601</v>
      </c>
      <c r="Q25" s="16">
        <v>-1997</v>
      </c>
      <c r="R25" s="15">
        <v>5.5104461271781771E-2</v>
      </c>
      <c r="S25" s="10">
        <v>286</v>
      </c>
      <c r="T25" s="10">
        <v>2953</v>
      </c>
      <c r="U25" s="10">
        <v>3970</v>
      </c>
      <c r="V25" s="14">
        <f>F25-INDEX('State measures'!$C$8:$D$8,MATCH(B25,'State measures'!$C$4:$D$4,0))</f>
        <v>-1.937109984681868</v>
      </c>
      <c r="W25" s="12">
        <f>G25-INDEX('State measures'!$C$9:$D$9,MATCH(B25,'State measures'!$C$4:$D$4,0))</f>
        <v>-3.0002657136246523E-2</v>
      </c>
      <c r="X25" s="14">
        <f>H25-INDEX('State measures'!$C$10:$D$10,MATCH(B25,'State measures'!$C$4:$D$4,0))</f>
        <v>0.76969780786002673</v>
      </c>
      <c r="Y25" s="12">
        <f>I25-INDEX('State measures'!$C$11:$D$11,MATCH(B25,'State measures'!$C$4:$D$4,0))</f>
        <v>7.3671212852016721E-3</v>
      </c>
      <c r="Z25" s="12">
        <f>R25-INDEX('State measures'!$C$20:$D$20,MATCH(B25,'State measures'!$C$4:$D$4,0))</f>
        <v>-5.5002081661563534E-2</v>
      </c>
    </row>
    <row r="26" spans="1:26" x14ac:dyDescent="0.3">
      <c r="A26" s="2" t="s">
        <v>99</v>
      </c>
      <c r="B26" s="2" t="s">
        <v>35</v>
      </c>
      <c r="C26" s="10">
        <v>1840</v>
      </c>
      <c r="D26" s="10">
        <v>223626</v>
      </c>
      <c r="E26" s="10">
        <v>12991</v>
      </c>
      <c r="F26" s="13">
        <v>17.213917327380489</v>
      </c>
      <c r="G26" s="15">
        <v>3.6956521739130437E-2</v>
      </c>
      <c r="H26" s="13">
        <v>80.209836956521741</v>
      </c>
      <c r="I26" s="15">
        <v>0.48196095266203393</v>
      </c>
      <c r="J26" s="15">
        <v>-1.178483405831821E-3</v>
      </c>
      <c r="K26" s="15">
        <v>0.94402173913043474</v>
      </c>
      <c r="L26" s="15">
        <v>0.99239130434782608</v>
      </c>
      <c r="M26" s="15">
        <v>0.84619565217391302</v>
      </c>
      <c r="N26" s="10">
        <v>10894</v>
      </c>
      <c r="O26" s="10">
        <v>667</v>
      </c>
      <c r="P26" s="10">
        <v>2625</v>
      </c>
      <c r="Q26" s="16">
        <v>-1958</v>
      </c>
      <c r="R26" s="15">
        <v>6.1226363135671022E-2</v>
      </c>
      <c r="S26" s="10">
        <v>318</v>
      </c>
      <c r="T26" s="10">
        <v>2755</v>
      </c>
      <c r="U26" s="10">
        <v>4126</v>
      </c>
      <c r="V26" s="14">
        <f>F26-INDEX('State measures'!$C$8:$D$8,MATCH(B26,'State measures'!$C$4:$D$4,0))</f>
        <v>-1.6556424588215712</v>
      </c>
      <c r="W26" s="12">
        <f>G26-INDEX('State measures'!$C$9:$D$9,MATCH(B26,'State measures'!$C$4:$D$4,0))</f>
        <v>-3.0286595236954407E-2</v>
      </c>
      <c r="X26" s="14">
        <f>H26-INDEX('State measures'!$C$10:$D$10,MATCH(B26,'State measures'!$C$4:$D$4,0))</f>
        <v>0.44617969955865533</v>
      </c>
      <c r="Y26" s="12">
        <f>I26-INDEX('State measures'!$C$11:$D$11,MATCH(B26,'State measures'!$C$4:$D$4,0))</f>
        <v>7.4653483391038389E-3</v>
      </c>
      <c r="Z26" s="12">
        <f>R26-INDEX('State measures'!$C$20:$D$20,MATCH(B26,'State measures'!$C$4:$D$4,0))</f>
        <v>-4.9443779749345176E-2</v>
      </c>
    </row>
    <row r="27" spans="1:26" x14ac:dyDescent="0.3">
      <c r="A27" s="2" t="s">
        <v>100</v>
      </c>
      <c r="B27" s="2" t="s">
        <v>16</v>
      </c>
      <c r="C27" s="10">
        <v>2492</v>
      </c>
      <c r="D27" s="10">
        <v>282518</v>
      </c>
      <c r="E27" s="10">
        <v>17588</v>
      </c>
      <c r="F27" s="13">
        <v>16.06311121219013</v>
      </c>
      <c r="G27" s="15">
        <v>3.3707865168539318E-2</v>
      </c>
      <c r="H27" s="13">
        <v>82.62941412520064</v>
      </c>
      <c r="I27" s="15">
        <v>0.48357272810935942</v>
      </c>
      <c r="J27" s="15">
        <v>2.1123182256229889E-2</v>
      </c>
      <c r="K27" s="15">
        <v>0.9731139646869984</v>
      </c>
      <c r="L27" s="15">
        <v>0.9911717495987159</v>
      </c>
      <c r="M27" s="15">
        <v>0.88041733547351519</v>
      </c>
      <c r="N27" s="10">
        <v>14393</v>
      </c>
      <c r="O27" s="10">
        <v>769</v>
      </c>
      <c r="P27" s="10">
        <v>3747</v>
      </c>
      <c r="Q27" s="16">
        <v>-2978</v>
      </c>
      <c r="R27" s="15">
        <v>5.3428750086847783E-2</v>
      </c>
      <c r="S27" s="10">
        <v>350</v>
      </c>
      <c r="T27" s="10">
        <v>3045</v>
      </c>
      <c r="U27" s="10">
        <v>4432</v>
      </c>
      <c r="V27" s="14">
        <f>F27-INDEX('State measures'!$C$8:$D$8,MATCH(B27,'State measures'!$C$4:$D$4,0))</f>
        <v>-3.3156068434180597</v>
      </c>
      <c r="W27" s="12">
        <f>G27-INDEX('State measures'!$C$9:$D$9,MATCH(B27,'State measures'!$C$4:$D$4,0))</f>
        <v>-2.3070748251860215E-2</v>
      </c>
      <c r="X27" s="14">
        <f>H27-INDEX('State measures'!$C$10:$D$10,MATCH(B27,'State measures'!$C$4:$D$4,0))</f>
        <v>3.2624999112027382</v>
      </c>
      <c r="Y27" s="12">
        <f>I27-INDEX('State measures'!$C$11:$D$11,MATCH(B27,'State measures'!$C$4:$D$4,0))</f>
        <v>1.0926177536678294E-2</v>
      </c>
      <c r="Z27" s="12">
        <f>R27-INDEX('State measures'!$C$20:$D$20,MATCH(B27,'State measures'!$C$4:$D$4,0))</f>
        <v>-5.6677792846497523E-2</v>
      </c>
    </row>
    <row r="28" spans="1:26" x14ac:dyDescent="0.3">
      <c r="A28" s="2" t="s">
        <v>100</v>
      </c>
      <c r="B28" s="2" t="s">
        <v>35</v>
      </c>
      <c r="C28" s="10">
        <v>2487</v>
      </c>
      <c r="D28" s="10">
        <v>277764</v>
      </c>
      <c r="E28" s="10">
        <v>17287</v>
      </c>
      <c r="F28" s="13">
        <v>16.067796610169491</v>
      </c>
      <c r="G28" s="15">
        <v>5.3075995174909532E-2</v>
      </c>
      <c r="H28" s="13">
        <v>83.018898271009249</v>
      </c>
      <c r="I28" s="15">
        <v>0.48347878054751509</v>
      </c>
      <c r="J28" s="15">
        <v>2.2141951004456591E-2</v>
      </c>
      <c r="K28" s="15">
        <v>0.97225572979493369</v>
      </c>
      <c r="L28" s="15">
        <v>0.99034981905910735</v>
      </c>
      <c r="M28" s="15">
        <v>0.87897064736630481</v>
      </c>
      <c r="N28" s="10">
        <v>14410</v>
      </c>
      <c r="O28" s="10">
        <v>1004</v>
      </c>
      <c r="P28" s="10">
        <v>3663</v>
      </c>
      <c r="Q28" s="16">
        <v>-2659</v>
      </c>
      <c r="R28" s="15">
        <v>6.9673837612768907E-2</v>
      </c>
      <c r="S28" s="10">
        <v>488</v>
      </c>
      <c r="T28" s="10">
        <v>2768</v>
      </c>
      <c r="U28" s="10">
        <v>4485</v>
      </c>
      <c r="V28" s="14">
        <f>F28-INDEX('State measures'!$C$8:$D$8,MATCH(B28,'State measures'!$C$4:$D$4,0))</f>
        <v>-2.8017631760325692</v>
      </c>
      <c r="W28" s="12">
        <f>G28-INDEX('State measures'!$C$9:$D$9,MATCH(B28,'State measures'!$C$4:$D$4,0))</f>
        <v>-1.4167121801175311E-2</v>
      </c>
      <c r="X28" s="14">
        <f>H28-INDEX('State measures'!$C$10:$D$10,MATCH(B28,'State measures'!$C$4:$D$4,0))</f>
        <v>3.2552410140461632</v>
      </c>
      <c r="Y28" s="12">
        <f>I28-INDEX('State measures'!$C$11:$D$11,MATCH(B28,'State measures'!$C$4:$D$4,0))</f>
        <v>8.9831762245849989E-3</v>
      </c>
      <c r="Z28" s="12">
        <f>R28-INDEX('State measures'!$C$20:$D$20,MATCH(B28,'State measures'!$C$4:$D$4,0))</f>
        <v>-4.0996305272247291E-2</v>
      </c>
    </row>
    <row r="29" spans="1:26" x14ac:dyDescent="0.3">
      <c r="A29" s="2" t="s">
        <v>101</v>
      </c>
      <c r="B29" s="2" t="s">
        <v>16</v>
      </c>
      <c r="C29" s="10">
        <v>2587</v>
      </c>
      <c r="D29" s="10">
        <v>462470</v>
      </c>
      <c r="E29" s="10">
        <v>23543</v>
      </c>
      <c r="F29" s="13">
        <v>19.643630803211149</v>
      </c>
      <c r="G29" s="15">
        <v>3.092385001932741E-2</v>
      </c>
      <c r="H29" s="13">
        <v>84.180517974487827</v>
      </c>
      <c r="I29" s="15">
        <v>0.47816939477155268</v>
      </c>
      <c r="J29" s="15">
        <v>-3.9405371933148858E-4</v>
      </c>
      <c r="K29" s="15">
        <v>0.96250483185156555</v>
      </c>
      <c r="L29" s="15">
        <v>0.98956320061847702</v>
      </c>
      <c r="M29" s="15">
        <v>0.88519520680324704</v>
      </c>
      <c r="N29" s="10">
        <v>21098</v>
      </c>
      <c r="O29" s="10">
        <v>2514</v>
      </c>
      <c r="P29" s="10">
        <v>4793</v>
      </c>
      <c r="Q29" s="16">
        <v>-2279</v>
      </c>
      <c r="R29" s="15">
        <v>0.11915821404872499</v>
      </c>
      <c r="S29" s="10">
        <v>734</v>
      </c>
      <c r="T29" s="10">
        <v>4022</v>
      </c>
      <c r="U29" s="10">
        <v>5167</v>
      </c>
      <c r="V29" s="14">
        <f>F29-INDEX('State measures'!$C$8:$D$8,MATCH(B29,'State measures'!$C$4:$D$4,0))</f>
        <v>0.2649127476029598</v>
      </c>
      <c r="W29" s="12">
        <f>G29-INDEX('State measures'!$C$9:$D$9,MATCH(B29,'State measures'!$C$4:$D$4,0))</f>
        <v>-2.5854763401072123E-2</v>
      </c>
      <c r="X29" s="14">
        <f>H29-INDEX('State measures'!$C$10:$D$10,MATCH(B29,'State measures'!$C$4:$D$4,0))</f>
        <v>4.8136037604899258</v>
      </c>
      <c r="Y29" s="12">
        <f>I29-INDEX('State measures'!$C$11:$D$11,MATCH(B29,'State measures'!$C$4:$D$4,0))</f>
        <v>5.5228441988715571E-3</v>
      </c>
      <c r="Z29" s="12">
        <f>R29-INDEX('State measures'!$C$20:$D$20,MATCH(B29,'State measures'!$C$4:$D$4,0))</f>
        <v>9.0516711153796892E-3</v>
      </c>
    </row>
    <row r="30" spans="1:26" x14ac:dyDescent="0.3">
      <c r="A30" s="2" t="s">
        <v>101</v>
      </c>
      <c r="B30" s="2" t="s">
        <v>35</v>
      </c>
      <c r="C30" s="10">
        <v>2616</v>
      </c>
      <c r="D30" s="10">
        <v>448055</v>
      </c>
      <c r="E30" s="10">
        <v>23843</v>
      </c>
      <c r="F30" s="13">
        <v>18.791888604621899</v>
      </c>
      <c r="G30" s="15">
        <v>3.4785932721712542E-2</v>
      </c>
      <c r="H30" s="13">
        <v>84.92465596330274</v>
      </c>
      <c r="I30" s="15">
        <v>0.48121324390978792</v>
      </c>
      <c r="J30" s="15">
        <v>1.8201380074370219E-3</v>
      </c>
      <c r="K30" s="15">
        <v>0.96330275229357798</v>
      </c>
      <c r="L30" s="15">
        <v>0.9866207951070336</v>
      </c>
      <c r="M30" s="15">
        <v>0.89296636085626913</v>
      </c>
      <c r="N30" s="10">
        <v>20995</v>
      </c>
      <c r="O30" s="10">
        <v>2240</v>
      </c>
      <c r="P30" s="10">
        <v>4903</v>
      </c>
      <c r="Q30" s="16">
        <v>-2663</v>
      </c>
      <c r="R30" s="15">
        <v>0.10669206954036679</v>
      </c>
      <c r="S30" s="10">
        <v>701</v>
      </c>
      <c r="T30" s="10">
        <v>3928</v>
      </c>
      <c r="U30" s="10">
        <v>5484</v>
      </c>
      <c r="V30" s="14">
        <f>F30-INDEX('State measures'!$C$8:$D$8,MATCH(B30,'State measures'!$C$4:$D$4,0))</f>
        <v>-7.7671181580161175E-2</v>
      </c>
      <c r="W30" s="12">
        <f>G30-INDEX('State measures'!$C$9:$D$9,MATCH(B30,'State measures'!$C$4:$D$4,0))</f>
        <v>-3.2457184254372301E-2</v>
      </c>
      <c r="X30" s="14">
        <f>H30-INDEX('State measures'!$C$10:$D$10,MATCH(B30,'State measures'!$C$4:$D$4,0))</f>
        <v>5.1609987063396545</v>
      </c>
      <c r="Y30" s="12">
        <f>I30-INDEX('State measures'!$C$11:$D$11,MATCH(B30,'State measures'!$C$4:$D$4,0))</f>
        <v>6.7176395868578376E-3</v>
      </c>
      <c r="Z30" s="12">
        <f>R30-INDEX('State measures'!$C$20:$D$20,MATCH(B30,'State measures'!$C$4:$D$4,0))</f>
        <v>-3.9780733446494049E-3</v>
      </c>
    </row>
    <row r="31" spans="1:26" x14ac:dyDescent="0.3">
      <c r="A31" s="2" t="s">
        <v>102</v>
      </c>
      <c r="B31" s="2" t="s">
        <v>16</v>
      </c>
      <c r="C31" s="10">
        <v>2493</v>
      </c>
      <c r="D31" s="10">
        <v>360144</v>
      </c>
      <c r="E31" s="10">
        <v>18824</v>
      </c>
      <c r="F31" s="13">
        <v>19.132171695707608</v>
      </c>
      <c r="G31" s="15">
        <v>4.8134777376654628E-2</v>
      </c>
      <c r="H31" s="13">
        <v>76.4189731247493</v>
      </c>
      <c r="I31" s="15">
        <v>0.4743741392331956</v>
      </c>
      <c r="J31" s="15">
        <v>1.8024490800692681E-3</v>
      </c>
      <c r="K31" s="15">
        <v>0.92218210990774163</v>
      </c>
      <c r="L31" s="15">
        <v>0.95346971520256718</v>
      </c>
      <c r="M31" s="15">
        <v>0.84275972723626158</v>
      </c>
      <c r="N31" s="10">
        <v>17271</v>
      </c>
      <c r="O31" s="10">
        <v>1993</v>
      </c>
      <c r="P31" s="10">
        <v>3428</v>
      </c>
      <c r="Q31" s="16">
        <v>-1435</v>
      </c>
      <c r="R31" s="15">
        <v>0.1153957501013259</v>
      </c>
      <c r="S31" s="10">
        <v>618</v>
      </c>
      <c r="T31" s="10">
        <v>3308</v>
      </c>
      <c r="U31" s="10">
        <v>4829</v>
      </c>
      <c r="V31" s="14">
        <f>F31-INDEX('State measures'!$C$8:$D$8,MATCH(B31,'State measures'!$C$4:$D$4,0))</f>
        <v>-0.24654635990058082</v>
      </c>
      <c r="W31" s="12">
        <f>G31-INDEX('State measures'!$C$9:$D$9,MATCH(B31,'State measures'!$C$4:$D$4,0))</f>
        <v>-8.6438360437449055E-3</v>
      </c>
      <c r="X31" s="14">
        <f>H31-INDEX('State measures'!$C$10:$D$10,MATCH(B31,'State measures'!$C$4:$D$4,0))</f>
        <v>-2.9479410892486015</v>
      </c>
      <c r="Y31" s="12">
        <f>I31-INDEX('State measures'!$C$11:$D$11,MATCH(B31,'State measures'!$C$4:$D$4,0))</f>
        <v>1.7275886605144786E-3</v>
      </c>
      <c r="Z31" s="12">
        <f>R31-INDEX('State measures'!$C$20:$D$20,MATCH(B31,'State measures'!$C$4:$D$4,0))</f>
        <v>5.2892071679805919E-3</v>
      </c>
    </row>
    <row r="32" spans="1:26" x14ac:dyDescent="0.3">
      <c r="A32" s="2" t="s">
        <v>102</v>
      </c>
      <c r="B32" s="2" t="s">
        <v>35</v>
      </c>
      <c r="C32" s="10">
        <v>2504</v>
      </c>
      <c r="D32" s="10">
        <v>345013</v>
      </c>
      <c r="E32" s="10">
        <v>19057</v>
      </c>
      <c r="F32" s="13">
        <v>18.10426614892166</v>
      </c>
      <c r="G32" s="15">
        <v>6.070287539936102E-2</v>
      </c>
      <c r="H32" s="13">
        <v>76.779353035143785</v>
      </c>
      <c r="I32" s="15">
        <v>0.47601974418355247</v>
      </c>
      <c r="J32" s="15">
        <v>4.5187050964359274E-3</v>
      </c>
      <c r="K32" s="15">
        <v>0.91972843450479236</v>
      </c>
      <c r="L32" s="15">
        <v>0.95007987220447288</v>
      </c>
      <c r="M32" s="15">
        <v>0.83945686900958472</v>
      </c>
      <c r="N32" s="10">
        <v>17027</v>
      </c>
      <c r="O32" s="10">
        <v>1948</v>
      </c>
      <c r="P32" s="10">
        <v>3844</v>
      </c>
      <c r="Q32" s="16">
        <v>-1896</v>
      </c>
      <c r="R32" s="15">
        <v>0.11440653080401721</v>
      </c>
      <c r="S32" s="10">
        <v>628</v>
      </c>
      <c r="T32" s="10">
        <v>3347</v>
      </c>
      <c r="U32" s="10">
        <v>5276</v>
      </c>
      <c r="V32" s="14">
        <f>F32-INDEX('State measures'!$C$8:$D$8,MATCH(B32,'State measures'!$C$4:$D$4,0))</f>
        <v>-0.76529363728040067</v>
      </c>
      <c r="W32" s="12">
        <f>G32-INDEX('State measures'!$C$9:$D$9,MATCH(B32,'State measures'!$C$4:$D$4,0))</f>
        <v>-6.5402415767238237E-3</v>
      </c>
      <c r="X32" s="14">
        <f>H32-INDEX('State measures'!$C$10:$D$10,MATCH(B32,'State measures'!$C$4:$D$4,0))</f>
        <v>-2.9843042218193006</v>
      </c>
      <c r="Y32" s="12">
        <f>I32-INDEX('State measures'!$C$11:$D$11,MATCH(B32,'State measures'!$C$4:$D$4,0))</f>
        <v>1.5241398606223866E-3</v>
      </c>
      <c r="Z32" s="12">
        <f>R32-INDEX('State measures'!$C$20:$D$20,MATCH(B32,'State measures'!$C$4:$D$4,0))</f>
        <v>3.736387919001008E-3</v>
      </c>
    </row>
    <row r="33" spans="1:26" x14ac:dyDescent="0.3">
      <c r="A33" s="2" t="s">
        <v>103</v>
      </c>
      <c r="B33" s="2" t="s">
        <v>16</v>
      </c>
      <c r="C33" s="10">
        <v>1416</v>
      </c>
      <c r="D33" s="10">
        <v>235243</v>
      </c>
      <c r="E33" s="10">
        <v>10704</v>
      </c>
      <c r="F33" s="13">
        <v>21.97711136023916</v>
      </c>
      <c r="G33" s="15">
        <v>4.3079096045197739E-2</v>
      </c>
      <c r="H33" s="13">
        <v>75.962217514124291</v>
      </c>
      <c r="I33" s="15">
        <v>0.46524657481837928</v>
      </c>
      <c r="J33" s="15">
        <v>9.3723278554619371E-4</v>
      </c>
      <c r="K33" s="15">
        <v>0.92655367231638419</v>
      </c>
      <c r="L33" s="15">
        <v>0.9731638418079096</v>
      </c>
      <c r="M33" s="15">
        <v>0.85381355932203384</v>
      </c>
      <c r="N33" s="10">
        <v>10353</v>
      </c>
      <c r="O33" s="10">
        <v>1421</v>
      </c>
      <c r="P33" s="10">
        <v>1738</v>
      </c>
      <c r="Q33" s="16">
        <v>-317</v>
      </c>
      <c r="R33" s="15">
        <v>0.1372549019607843</v>
      </c>
      <c r="S33" s="10">
        <v>448</v>
      </c>
      <c r="T33" s="10">
        <v>1849</v>
      </c>
      <c r="U33" s="10">
        <v>2359</v>
      </c>
      <c r="V33" s="14">
        <f>F33-INDEX('State measures'!$C$8:$D$8,MATCH(B33,'State measures'!$C$4:$D$4,0))</f>
        <v>2.5983933046309708</v>
      </c>
      <c r="W33" s="12">
        <f>G33-INDEX('State measures'!$C$9:$D$9,MATCH(B33,'State measures'!$C$4:$D$4,0))</f>
        <v>-1.3699517375201795E-2</v>
      </c>
      <c r="X33" s="14">
        <f>H33-INDEX('State measures'!$C$10:$D$10,MATCH(B33,'State measures'!$C$4:$D$4,0))</f>
        <v>-3.404696699873611</v>
      </c>
      <c r="Y33" s="12">
        <f>I33-INDEX('State measures'!$C$11:$D$11,MATCH(B33,'State measures'!$C$4:$D$4,0))</f>
        <v>-7.3999757543018463E-3</v>
      </c>
      <c r="Z33" s="12">
        <f>R33-INDEX('State measures'!$C$20:$D$20,MATCH(B33,'State measures'!$C$4:$D$4,0))</f>
        <v>2.7148359027438992E-2</v>
      </c>
    </row>
    <row r="34" spans="1:26" x14ac:dyDescent="0.3">
      <c r="A34" s="2" t="s">
        <v>103</v>
      </c>
      <c r="B34" s="2" t="s">
        <v>35</v>
      </c>
      <c r="C34" s="10">
        <v>1419</v>
      </c>
      <c r="D34" s="10">
        <v>223448</v>
      </c>
      <c r="E34" s="10">
        <v>10782</v>
      </c>
      <c r="F34" s="13">
        <v>20.724169912817661</v>
      </c>
      <c r="G34" s="15">
        <v>3.4531360112755462E-2</v>
      </c>
      <c r="H34" s="13">
        <v>76.146511627906989</v>
      </c>
      <c r="I34" s="15">
        <v>0.46752264508968527</v>
      </c>
      <c r="J34" s="15">
        <v>2.1130504451482568E-3</v>
      </c>
      <c r="K34" s="15">
        <v>0.92600422832980978</v>
      </c>
      <c r="L34" s="15">
        <v>0.96335447498238191</v>
      </c>
      <c r="M34" s="15">
        <v>0.85412262156448204</v>
      </c>
      <c r="N34" s="10">
        <v>10100</v>
      </c>
      <c r="O34" s="10">
        <v>1256</v>
      </c>
      <c r="P34" s="10">
        <v>1907</v>
      </c>
      <c r="Q34" s="16">
        <v>-651</v>
      </c>
      <c r="R34" s="15">
        <v>0.1243564356435644</v>
      </c>
      <c r="S34" s="10">
        <v>408</v>
      </c>
      <c r="T34" s="10">
        <v>1933</v>
      </c>
      <c r="U34" s="10">
        <v>2664</v>
      </c>
      <c r="V34" s="14">
        <f>F34-INDEX('State measures'!$C$8:$D$8,MATCH(B34,'State measures'!$C$4:$D$4,0))</f>
        <v>1.8546101266156008</v>
      </c>
      <c r="W34" s="12">
        <f>G34-INDEX('State measures'!$C$9:$D$9,MATCH(B34,'State measures'!$C$4:$D$4,0))</f>
        <v>-3.2711756863329382E-2</v>
      </c>
      <c r="X34" s="14">
        <f>H34-INDEX('State measures'!$C$10:$D$10,MATCH(B34,'State measures'!$C$4:$D$4,0))</f>
        <v>-3.6171456290560968</v>
      </c>
      <c r="Y34" s="12">
        <f>I34-INDEX('State measures'!$C$11:$D$11,MATCH(B34,'State measures'!$C$4:$D$4,0))</f>
        <v>-6.9729592332448131E-3</v>
      </c>
      <c r="Z34" s="12">
        <f>R34-INDEX('State measures'!$C$20:$D$20,MATCH(B34,'State measures'!$C$4:$D$4,0))</f>
        <v>1.3686292758548199E-2</v>
      </c>
    </row>
    <row r="35" spans="1:26" x14ac:dyDescent="0.3">
      <c r="A35" s="2" t="s">
        <v>104</v>
      </c>
      <c r="B35" s="2" t="s">
        <v>16</v>
      </c>
      <c r="C35" s="10">
        <v>1847</v>
      </c>
      <c r="D35" s="10">
        <v>323028</v>
      </c>
      <c r="E35" s="10">
        <v>13442</v>
      </c>
      <c r="F35" s="13">
        <v>24.03124535039429</v>
      </c>
      <c r="G35" s="15">
        <v>3.3026529507309152E-2</v>
      </c>
      <c r="H35" s="13">
        <v>79.141851651326476</v>
      </c>
      <c r="I35" s="15">
        <v>0.47046695642483011</v>
      </c>
      <c r="J35" s="15">
        <v>9.235833543961236E-3</v>
      </c>
      <c r="K35" s="15">
        <v>0.91878722252301026</v>
      </c>
      <c r="L35" s="15">
        <v>0.97780184082295618</v>
      </c>
      <c r="M35" s="15">
        <v>0.87763941526800215</v>
      </c>
      <c r="N35" s="10">
        <v>13589</v>
      </c>
      <c r="O35" s="10">
        <v>1983</v>
      </c>
      <c r="P35" s="10">
        <v>1792</v>
      </c>
      <c r="Q35" s="16">
        <v>191</v>
      </c>
      <c r="R35" s="15">
        <v>0.14592685260136881</v>
      </c>
      <c r="S35" s="10">
        <v>535</v>
      </c>
      <c r="T35" s="10">
        <v>2562</v>
      </c>
      <c r="U35" s="10">
        <v>3343</v>
      </c>
      <c r="V35" s="14">
        <f>F35-INDEX('State measures'!$C$8:$D$8,MATCH(B35,'State measures'!$C$4:$D$4,0))</f>
        <v>4.6525272947861005</v>
      </c>
      <c r="W35" s="12">
        <f>G35-INDEX('State measures'!$C$9:$D$9,MATCH(B35,'State measures'!$C$4:$D$4,0))</f>
        <v>-2.3752083913090381E-2</v>
      </c>
      <c r="X35" s="14">
        <f>H35-INDEX('State measures'!$C$10:$D$10,MATCH(B35,'State measures'!$C$4:$D$4,0))</f>
        <v>-0.22506256267142533</v>
      </c>
      <c r="Y35" s="12">
        <f>I35-INDEX('State measures'!$C$11:$D$11,MATCH(B35,'State measures'!$C$4:$D$4,0))</f>
        <v>-2.1795941478510161E-3</v>
      </c>
      <c r="Z35" s="12">
        <f>R35-INDEX('State measures'!$C$20:$D$20,MATCH(B35,'State measures'!$C$4:$D$4,0))</f>
        <v>3.5820309668023506E-2</v>
      </c>
    </row>
    <row r="36" spans="1:26" x14ac:dyDescent="0.3">
      <c r="A36" s="2" t="s">
        <v>104</v>
      </c>
      <c r="B36" s="2" t="s">
        <v>35</v>
      </c>
      <c r="C36" s="10">
        <v>1851</v>
      </c>
      <c r="D36" s="10">
        <v>308960</v>
      </c>
      <c r="E36" s="10">
        <v>13460</v>
      </c>
      <c r="F36" s="13">
        <v>22.95393759286776</v>
      </c>
      <c r="G36" s="15">
        <v>3.4035656401944892E-2</v>
      </c>
      <c r="H36" s="13">
        <v>79.491950297136668</v>
      </c>
      <c r="I36" s="15">
        <v>0.47529777317452099</v>
      </c>
      <c r="J36" s="15">
        <v>1.8797271478128211E-2</v>
      </c>
      <c r="K36" s="15">
        <v>0.92112371690977846</v>
      </c>
      <c r="L36" s="15">
        <v>0.97839005942733659</v>
      </c>
      <c r="M36" s="15">
        <v>0.87250135062128575</v>
      </c>
      <c r="N36" s="10">
        <v>13260</v>
      </c>
      <c r="O36" s="10">
        <v>1798</v>
      </c>
      <c r="P36" s="10">
        <v>1954</v>
      </c>
      <c r="Q36" s="16">
        <v>-156</v>
      </c>
      <c r="R36" s="15">
        <v>0.13559577677224741</v>
      </c>
      <c r="S36" s="10">
        <v>529</v>
      </c>
      <c r="T36" s="10">
        <v>2463</v>
      </c>
      <c r="U36" s="10">
        <v>3550</v>
      </c>
      <c r="V36" s="14">
        <f>F36-INDEX('State measures'!$C$8:$D$8,MATCH(B36,'State measures'!$C$4:$D$4,0))</f>
        <v>4.0843778066656995</v>
      </c>
      <c r="W36" s="12">
        <f>G36-INDEX('State measures'!$C$9:$D$9,MATCH(B36,'State measures'!$C$4:$D$4,0))</f>
        <v>-3.3207460574139952E-2</v>
      </c>
      <c r="X36" s="14">
        <f>H36-INDEX('State measures'!$C$10:$D$10,MATCH(B36,'State measures'!$C$4:$D$4,0))</f>
        <v>-0.27170695982641746</v>
      </c>
      <c r="Y36" s="12">
        <f>I36-INDEX('State measures'!$C$11:$D$11,MATCH(B36,'State measures'!$C$4:$D$4,0))</f>
        <v>8.021688515909009E-4</v>
      </c>
      <c r="Z36" s="12">
        <f>R36-INDEX('State measures'!$C$20:$D$20,MATCH(B36,'State measures'!$C$4:$D$4,0))</f>
        <v>2.4925633887231208E-2</v>
      </c>
    </row>
    <row r="37" spans="1:26" x14ac:dyDescent="0.3">
      <c r="A37" s="2" t="s">
        <v>105</v>
      </c>
      <c r="B37" s="2" t="s">
        <v>16</v>
      </c>
      <c r="C37" s="10">
        <v>2268</v>
      </c>
      <c r="D37" s="10">
        <v>344605</v>
      </c>
      <c r="E37" s="10">
        <v>18097</v>
      </c>
      <c r="F37" s="13">
        <v>19.042106426479531</v>
      </c>
      <c r="G37" s="15">
        <v>3.4832451499118157E-2</v>
      </c>
      <c r="H37" s="13">
        <v>84.887566137566139</v>
      </c>
      <c r="I37" s="15">
        <v>0.47794721492723552</v>
      </c>
      <c r="J37" s="15">
        <v>-2.61508636690938E-3</v>
      </c>
      <c r="K37" s="15">
        <v>0.98368606701940031</v>
      </c>
      <c r="L37" s="15">
        <v>0.99470899470899465</v>
      </c>
      <c r="M37" s="15">
        <v>0.92768959435626097</v>
      </c>
      <c r="N37" s="10">
        <v>16406</v>
      </c>
      <c r="O37" s="10">
        <v>1921</v>
      </c>
      <c r="P37" s="10">
        <v>3516</v>
      </c>
      <c r="Q37" s="16">
        <v>-1595</v>
      </c>
      <c r="R37" s="15">
        <v>0.1170913080580275</v>
      </c>
      <c r="S37" s="10">
        <v>508</v>
      </c>
      <c r="T37" s="10">
        <v>2491</v>
      </c>
      <c r="U37" s="10">
        <v>3449</v>
      </c>
      <c r="V37" s="14">
        <f>F37-INDEX('State measures'!$C$8:$D$8,MATCH(B37,'State measures'!$C$4:$D$4,0))</f>
        <v>-0.33661162912865805</v>
      </c>
      <c r="W37" s="12">
        <f>G37-INDEX('State measures'!$C$9:$D$9,MATCH(B37,'State measures'!$C$4:$D$4,0))</f>
        <v>-2.1946161921281376E-2</v>
      </c>
      <c r="X37" s="14">
        <f>H37-INDEX('State measures'!$C$10:$D$10,MATCH(B37,'State measures'!$C$4:$D$4,0))</f>
        <v>5.5206519235682379</v>
      </c>
      <c r="Y37" s="12">
        <f>I37-INDEX('State measures'!$C$11:$D$11,MATCH(B37,'State measures'!$C$4:$D$4,0))</f>
        <v>5.3006643545543963E-3</v>
      </c>
      <c r="Z37" s="12">
        <f>R37-INDEX('State measures'!$C$20:$D$20,MATCH(B37,'State measures'!$C$4:$D$4,0))</f>
        <v>6.984765124682199E-3</v>
      </c>
    </row>
    <row r="38" spans="1:26" x14ac:dyDescent="0.3">
      <c r="A38" s="2" t="s">
        <v>105</v>
      </c>
      <c r="B38" s="2" t="s">
        <v>35</v>
      </c>
      <c r="C38" s="10">
        <v>2272</v>
      </c>
      <c r="D38" s="10">
        <v>333426</v>
      </c>
      <c r="E38" s="10">
        <v>18475</v>
      </c>
      <c r="F38" s="13">
        <v>18.047415426251689</v>
      </c>
      <c r="G38" s="15">
        <v>3.345070422535211E-2</v>
      </c>
      <c r="H38" s="13">
        <v>85.255985915492943</v>
      </c>
      <c r="I38" s="15">
        <v>0.47907781636704988</v>
      </c>
      <c r="J38" s="15">
        <v>-2.5837873430201158E-4</v>
      </c>
      <c r="K38" s="15">
        <v>0.98107394366197187</v>
      </c>
      <c r="L38" s="15">
        <v>0.99295774647887325</v>
      </c>
      <c r="M38" s="15">
        <v>0.9234154929577465</v>
      </c>
      <c r="N38" s="10">
        <v>16233</v>
      </c>
      <c r="O38" s="10">
        <v>1766</v>
      </c>
      <c r="P38" s="10">
        <v>3901</v>
      </c>
      <c r="Q38" s="16">
        <v>-2135</v>
      </c>
      <c r="R38" s="15">
        <v>0.1087907349226884</v>
      </c>
      <c r="S38" s="10">
        <v>478</v>
      </c>
      <c r="T38" s="10">
        <v>2665</v>
      </c>
      <c r="U38" s="10">
        <v>3990</v>
      </c>
      <c r="V38" s="14">
        <f>F38-INDEX('State measures'!$C$8:$D$8,MATCH(B38,'State measures'!$C$4:$D$4,0))</f>
        <v>-0.82214435995037149</v>
      </c>
      <c r="W38" s="12">
        <f>G38-INDEX('State measures'!$C$9:$D$9,MATCH(B38,'State measures'!$C$4:$D$4,0))</f>
        <v>-3.3792412750732734E-2</v>
      </c>
      <c r="X38" s="14">
        <f>H38-INDEX('State measures'!$C$10:$D$10,MATCH(B38,'State measures'!$C$4:$D$4,0))</f>
        <v>5.492328658529857</v>
      </c>
      <c r="Y38" s="12">
        <f>I38-INDEX('State measures'!$C$11:$D$11,MATCH(B38,'State measures'!$C$4:$D$4,0))</f>
        <v>4.5822120441197933E-3</v>
      </c>
      <c r="Z38" s="12">
        <f>R38-INDEX('State measures'!$C$20:$D$20,MATCH(B38,'State measures'!$C$4:$D$4,0))</f>
        <v>-1.8794079623278004E-3</v>
      </c>
    </row>
    <row r="39" spans="1:26" x14ac:dyDescent="0.3">
      <c r="A39" s="2" t="s">
        <v>106</v>
      </c>
      <c r="B39" s="2" t="s">
        <v>16</v>
      </c>
      <c r="C39" s="10">
        <v>3179</v>
      </c>
      <c r="D39" s="10">
        <v>342246</v>
      </c>
      <c r="E39" s="10">
        <v>17111</v>
      </c>
      <c r="F39" s="13">
        <v>20.001519490386301</v>
      </c>
      <c r="G39" s="15">
        <v>0.15193457061969171</v>
      </c>
      <c r="H39" s="13">
        <v>70.269738911607419</v>
      </c>
      <c r="I39" s="15">
        <v>0.48706778165413178</v>
      </c>
      <c r="J39" s="15">
        <v>2.198619087546921E-2</v>
      </c>
      <c r="K39" s="15">
        <v>0.87417426863793646</v>
      </c>
      <c r="L39" s="15">
        <v>0.98238439760931107</v>
      </c>
      <c r="M39" s="15">
        <v>0.78515256369927655</v>
      </c>
      <c r="N39" s="10">
        <v>15671</v>
      </c>
      <c r="O39" s="10">
        <v>1616</v>
      </c>
      <c r="P39" s="10">
        <v>2829</v>
      </c>
      <c r="Q39" s="16">
        <v>-1213</v>
      </c>
      <c r="R39" s="15">
        <v>0.10312041350264819</v>
      </c>
      <c r="S39" s="10">
        <v>826</v>
      </c>
      <c r="T39" s="10">
        <v>3418</v>
      </c>
      <c r="U39" s="10">
        <v>5357</v>
      </c>
      <c r="V39" s="14">
        <f>F39-INDEX('State measures'!$C$8:$D$8,MATCH(B39,'State measures'!$C$4:$D$4,0))</f>
        <v>0.62280143477811123</v>
      </c>
      <c r="W39" s="12">
        <f>G39-INDEX('State measures'!$C$9:$D$9,MATCH(B39,'State measures'!$C$4:$D$4,0))</f>
        <v>9.5155957199292179E-2</v>
      </c>
      <c r="X39" s="14">
        <f>H39-INDEX('State measures'!$C$10:$D$10,MATCH(B39,'State measures'!$C$4:$D$4,0))</f>
        <v>-9.0971753023904824</v>
      </c>
      <c r="Y39" s="12">
        <f>I39-INDEX('State measures'!$C$11:$D$11,MATCH(B39,'State measures'!$C$4:$D$4,0))</f>
        <v>1.4421231081450658E-2</v>
      </c>
      <c r="Z39" s="12">
        <f>R39-INDEX('State measures'!$C$20:$D$20,MATCH(B39,'State measures'!$C$4:$D$4,0))</f>
        <v>-6.9861294306971106E-3</v>
      </c>
    </row>
    <row r="40" spans="1:26" x14ac:dyDescent="0.3">
      <c r="A40" s="2" t="s">
        <v>106</v>
      </c>
      <c r="B40" s="2" t="s">
        <v>35</v>
      </c>
      <c r="C40" s="10">
        <v>3181</v>
      </c>
      <c r="D40" s="10">
        <v>335602</v>
      </c>
      <c r="E40" s="10">
        <v>17241</v>
      </c>
      <c r="F40" s="13">
        <v>19.46534423757323</v>
      </c>
      <c r="G40" s="15">
        <v>0.1499528450172902</v>
      </c>
      <c r="H40" s="13">
        <v>70.106727444199976</v>
      </c>
      <c r="I40" s="15">
        <v>0.48732725073152128</v>
      </c>
      <c r="J40" s="15">
        <v>2.3138860997267811E-2</v>
      </c>
      <c r="K40" s="15">
        <v>0.86922351461804459</v>
      </c>
      <c r="L40" s="15">
        <v>0.97610814209368124</v>
      </c>
      <c r="M40" s="15">
        <v>0.75888085507701986</v>
      </c>
      <c r="N40" s="10">
        <v>15644</v>
      </c>
      <c r="O40" s="10">
        <v>1615</v>
      </c>
      <c r="P40" s="10">
        <v>2969</v>
      </c>
      <c r="Q40" s="16">
        <v>-1354</v>
      </c>
      <c r="R40" s="15">
        <v>0.1032344668882639</v>
      </c>
      <c r="S40" s="10">
        <v>832</v>
      </c>
      <c r="T40" s="10">
        <v>3439</v>
      </c>
      <c r="U40" s="10">
        <v>5787</v>
      </c>
      <c r="V40" s="14">
        <f>F40-INDEX('State measures'!$C$8:$D$8,MATCH(B40,'State measures'!$C$4:$D$4,0))</f>
        <v>0.59578445137116987</v>
      </c>
      <c r="W40" s="12">
        <f>G40-INDEX('State measures'!$C$9:$D$9,MATCH(B40,'State measures'!$C$4:$D$4,0))</f>
        <v>8.2709728041205355E-2</v>
      </c>
      <c r="X40" s="14">
        <f>H40-INDEX('State measures'!$C$10:$D$10,MATCH(B40,'State measures'!$C$4:$D$4,0))</f>
        <v>-9.65692981276311</v>
      </c>
      <c r="Y40" s="12">
        <f>I40-INDEX('State measures'!$C$11:$D$11,MATCH(B40,'State measures'!$C$4:$D$4,0))</f>
        <v>1.2831646408591191E-2</v>
      </c>
      <c r="Z40" s="12">
        <f>R40-INDEX('State measures'!$C$20:$D$20,MATCH(B40,'State measures'!$C$4:$D$4,0))</f>
        <v>-7.4356759967522945E-3</v>
      </c>
    </row>
    <row r="41" spans="1:26" x14ac:dyDescent="0.3">
      <c r="A41" s="2" t="s">
        <v>107</v>
      </c>
      <c r="B41" s="2" t="s">
        <v>16</v>
      </c>
      <c r="C41" s="10">
        <v>2878</v>
      </c>
      <c r="D41" s="10">
        <v>357295</v>
      </c>
      <c r="E41" s="10">
        <v>21715</v>
      </c>
      <c r="F41" s="13">
        <v>16.453833755468569</v>
      </c>
      <c r="G41" s="15">
        <v>3.0924252953439889E-2</v>
      </c>
      <c r="H41" s="13">
        <v>83.994961779013209</v>
      </c>
      <c r="I41" s="15">
        <v>0.48039575140989937</v>
      </c>
      <c r="J41" s="15">
        <v>6.9728556457782642E-3</v>
      </c>
      <c r="K41" s="15">
        <v>0.97984711605281449</v>
      </c>
      <c r="L41" s="15">
        <v>0.99791521890201529</v>
      </c>
      <c r="M41" s="15">
        <v>0.91591382904794993</v>
      </c>
      <c r="N41" s="10">
        <v>18422</v>
      </c>
      <c r="O41" s="10">
        <v>1350</v>
      </c>
      <c r="P41" s="10">
        <v>4444</v>
      </c>
      <c r="Q41" s="16">
        <v>-3094</v>
      </c>
      <c r="R41" s="15">
        <v>7.3281945499945711E-2</v>
      </c>
      <c r="S41" s="10">
        <v>623</v>
      </c>
      <c r="T41" s="10">
        <v>3660</v>
      </c>
      <c r="U41" s="10">
        <v>5128</v>
      </c>
      <c r="V41" s="14">
        <f>F41-INDEX('State measures'!$C$8:$D$8,MATCH(B41,'State measures'!$C$4:$D$4,0))</f>
        <v>-2.9248843001396203</v>
      </c>
      <c r="W41" s="12">
        <f>G41-INDEX('State measures'!$C$9:$D$9,MATCH(B41,'State measures'!$C$4:$D$4,0))</f>
        <v>-2.5854360466959644E-2</v>
      </c>
      <c r="X41" s="14">
        <f>H41-INDEX('State measures'!$C$10:$D$10,MATCH(B41,'State measures'!$C$4:$D$4,0))</f>
        <v>4.6280475650153079</v>
      </c>
      <c r="Y41" s="12">
        <f>I41-INDEX('State measures'!$C$11:$D$11,MATCH(B41,'State measures'!$C$4:$D$4,0))</f>
        <v>7.7492008372182508E-3</v>
      </c>
      <c r="Z41" s="12">
        <f>R41-INDEX('State measures'!$C$20:$D$20,MATCH(B41,'State measures'!$C$4:$D$4,0))</f>
        <v>-3.6824597433399595E-2</v>
      </c>
    </row>
    <row r="42" spans="1:26" x14ac:dyDescent="0.3">
      <c r="A42" s="2" t="s">
        <v>107</v>
      </c>
      <c r="B42" s="2" t="s">
        <v>35</v>
      </c>
      <c r="C42" s="10">
        <v>2882</v>
      </c>
      <c r="D42" s="10">
        <v>350073</v>
      </c>
      <c r="E42" s="10">
        <v>21814</v>
      </c>
      <c r="F42" s="13">
        <v>16.04808838360686</v>
      </c>
      <c r="G42" s="15">
        <v>4.302567661346287E-2</v>
      </c>
      <c r="H42" s="13">
        <v>84.358570437196377</v>
      </c>
      <c r="I42" s="15">
        <v>0.48104252541612752</v>
      </c>
      <c r="J42" s="15">
        <v>7.8206013139126562E-3</v>
      </c>
      <c r="K42" s="15">
        <v>0.98022206800832756</v>
      </c>
      <c r="L42" s="15">
        <v>0.99618320610687028</v>
      </c>
      <c r="M42" s="15">
        <v>0.90839694656488545</v>
      </c>
      <c r="N42" s="10">
        <v>18305</v>
      </c>
      <c r="O42" s="10">
        <v>1333</v>
      </c>
      <c r="P42" s="10">
        <v>4621</v>
      </c>
      <c r="Q42" s="16">
        <v>-3288</v>
      </c>
      <c r="R42" s="15">
        <v>7.2821633433488117E-2</v>
      </c>
      <c r="S42" s="10">
        <v>636</v>
      </c>
      <c r="T42" s="10">
        <v>3538</v>
      </c>
      <c r="U42" s="10">
        <v>5459</v>
      </c>
      <c r="V42" s="14">
        <f>F42-INDEX('State measures'!$C$8:$D$8,MATCH(B42,'State measures'!$C$4:$D$4,0))</f>
        <v>-2.8214714025952006</v>
      </c>
      <c r="W42" s="12">
        <f>G42-INDEX('State measures'!$C$9:$D$9,MATCH(B42,'State measures'!$C$4:$D$4,0))</f>
        <v>-2.4217440362621974E-2</v>
      </c>
      <c r="X42" s="14">
        <f>H42-INDEX('State measures'!$C$10:$D$10,MATCH(B42,'State measures'!$C$4:$D$4,0))</f>
        <v>4.5949131802332914</v>
      </c>
      <c r="Y42" s="12">
        <f>I42-INDEX('State measures'!$C$11:$D$11,MATCH(B42,'State measures'!$C$4:$D$4,0))</f>
        <v>6.5469210931974331E-3</v>
      </c>
      <c r="Z42" s="12">
        <f>R42-INDEX('State measures'!$C$20:$D$20,MATCH(B42,'State measures'!$C$4:$D$4,0))</f>
        <v>-3.7848509451528081E-2</v>
      </c>
    </row>
    <row r="43" spans="1:26" x14ac:dyDescent="0.3">
      <c r="A43" s="2" t="s">
        <v>108</v>
      </c>
      <c r="B43" s="2" t="s">
        <v>16</v>
      </c>
      <c r="C43" s="10">
        <v>2035</v>
      </c>
      <c r="D43" s="10">
        <v>332601</v>
      </c>
      <c r="E43" s="10">
        <v>18676</v>
      </c>
      <c r="F43" s="13">
        <v>17.809006211180129</v>
      </c>
      <c r="G43" s="15">
        <v>1.6216216216216221E-2</v>
      </c>
      <c r="H43" s="13">
        <v>88.298525798525802</v>
      </c>
      <c r="I43" s="15">
        <v>0.48043451462863912</v>
      </c>
      <c r="J43" s="15">
        <v>9.0037923824929367E-3</v>
      </c>
      <c r="K43" s="15">
        <v>0.99066339066339071</v>
      </c>
      <c r="L43" s="15">
        <v>0.99852579852579848</v>
      </c>
      <c r="M43" s="15">
        <v>0.96658476658476655</v>
      </c>
      <c r="N43" s="10">
        <v>15868</v>
      </c>
      <c r="O43" s="10">
        <v>1231</v>
      </c>
      <c r="P43" s="10">
        <v>3914</v>
      </c>
      <c r="Q43" s="16">
        <v>-2683</v>
      </c>
      <c r="R43" s="15">
        <v>7.7577514494580294E-2</v>
      </c>
      <c r="S43" s="10">
        <v>469</v>
      </c>
      <c r="T43" s="10">
        <v>2814</v>
      </c>
      <c r="U43" s="10">
        <v>3611</v>
      </c>
      <c r="V43" s="14">
        <f>F43-INDEX('State measures'!$C$8:$D$8,MATCH(B43,'State measures'!$C$4:$D$4,0))</f>
        <v>-1.5697118444280598</v>
      </c>
      <c r="W43" s="12">
        <f>G43-INDEX('State measures'!$C$9:$D$9,MATCH(B43,'State measures'!$C$4:$D$4,0))</f>
        <v>-4.0562397204183309E-2</v>
      </c>
      <c r="X43" s="14">
        <f>H43-INDEX('State measures'!$C$10:$D$10,MATCH(B43,'State measures'!$C$4:$D$4,0))</f>
        <v>8.9316115845279</v>
      </c>
      <c r="Y43" s="12">
        <f>I43-INDEX('State measures'!$C$11:$D$11,MATCH(B43,'State measures'!$C$4:$D$4,0))</f>
        <v>7.7879640559579966E-3</v>
      </c>
      <c r="Z43" s="12">
        <f>R43-INDEX('State measures'!$C$20:$D$20,MATCH(B43,'State measures'!$C$4:$D$4,0))</f>
        <v>-3.2529028438765012E-2</v>
      </c>
    </row>
    <row r="44" spans="1:26" x14ac:dyDescent="0.3">
      <c r="A44" s="2" t="s">
        <v>108</v>
      </c>
      <c r="B44" s="2" t="s">
        <v>35</v>
      </c>
      <c r="C44" s="10">
        <v>2043</v>
      </c>
      <c r="D44" s="10">
        <v>323737</v>
      </c>
      <c r="E44" s="10">
        <v>18706</v>
      </c>
      <c r="F44" s="13">
        <v>17.306586122099858</v>
      </c>
      <c r="G44" s="15">
        <v>2.2515907978463041E-2</v>
      </c>
      <c r="H44" s="13">
        <v>89.029613313754282</v>
      </c>
      <c r="I44" s="15">
        <v>0.48195603221133199</v>
      </c>
      <c r="J44" s="15">
        <v>1.262793392487893E-2</v>
      </c>
      <c r="K44" s="15">
        <v>0.99167890357317667</v>
      </c>
      <c r="L44" s="15">
        <v>0.99657366617719045</v>
      </c>
      <c r="M44" s="15">
        <v>0.96084189916789031</v>
      </c>
      <c r="N44" s="10">
        <v>15676</v>
      </c>
      <c r="O44" s="10">
        <v>1197</v>
      </c>
      <c r="P44" s="10">
        <v>4096</v>
      </c>
      <c r="Q44" s="16">
        <v>-2899</v>
      </c>
      <c r="R44" s="15">
        <v>7.6358764991069153E-2</v>
      </c>
      <c r="S44" s="10">
        <v>467</v>
      </c>
      <c r="T44" s="10">
        <v>2763</v>
      </c>
      <c r="U44" s="10">
        <v>3845</v>
      </c>
      <c r="V44" s="14">
        <f>F44-INDEX('State measures'!$C$8:$D$8,MATCH(B44,'State measures'!$C$4:$D$4,0))</f>
        <v>-1.5629736641022021</v>
      </c>
      <c r="W44" s="12">
        <f>G44-INDEX('State measures'!$C$9:$D$9,MATCH(B44,'State measures'!$C$4:$D$4,0))</f>
        <v>-4.4727208997621802E-2</v>
      </c>
      <c r="X44" s="14">
        <f>H44-INDEX('State measures'!$C$10:$D$10,MATCH(B44,'State measures'!$C$4:$D$4,0))</f>
        <v>9.2659560567911967</v>
      </c>
      <c r="Y44" s="12">
        <f>I44-INDEX('State measures'!$C$11:$D$11,MATCH(B44,'State measures'!$C$4:$D$4,0))</f>
        <v>7.4604278884018993E-3</v>
      </c>
      <c r="Z44" s="12">
        <f>R44-INDEX('State measures'!$C$20:$D$20,MATCH(B44,'State measures'!$C$4:$D$4,0))</f>
        <v>-3.4311377893947045E-2</v>
      </c>
    </row>
    <row r="45" spans="1:26" x14ac:dyDescent="0.3">
      <c r="A45" s="2" t="s">
        <v>109</v>
      </c>
      <c r="B45" s="2" t="s">
        <v>16</v>
      </c>
      <c r="C45" s="10">
        <v>8159</v>
      </c>
      <c r="D45" s="10">
        <v>1522558</v>
      </c>
      <c r="E45" s="10">
        <v>80355</v>
      </c>
      <c r="F45" s="13">
        <v>18.947893721610349</v>
      </c>
      <c r="G45" s="15">
        <v>4.4245618335580342E-2</v>
      </c>
      <c r="H45" s="13">
        <v>83.542713567839201</v>
      </c>
      <c r="I45" s="15">
        <v>0.46447491655490297</v>
      </c>
      <c r="J45" s="15">
        <v>-5.7680350171266381E-3</v>
      </c>
      <c r="K45" s="15">
        <v>0.94178208113739426</v>
      </c>
      <c r="L45" s="15">
        <v>0.98725333987008212</v>
      </c>
      <c r="M45" s="15">
        <v>0.89336928545164851</v>
      </c>
      <c r="N45" s="10">
        <v>68889</v>
      </c>
      <c r="O45" s="10">
        <v>8421</v>
      </c>
      <c r="P45" s="10">
        <v>18095</v>
      </c>
      <c r="Q45" s="16">
        <v>-9674</v>
      </c>
      <c r="R45" s="15">
        <v>0.12224012541915261</v>
      </c>
      <c r="S45" s="10">
        <v>2192</v>
      </c>
      <c r="T45" s="10">
        <v>12205</v>
      </c>
      <c r="U45" s="10">
        <v>15563</v>
      </c>
      <c r="V45" s="14">
        <f>F45-INDEX('State measures'!$C$8:$D$8,MATCH(B45,'State measures'!$C$4:$D$4,0))</f>
        <v>-0.43082433399784037</v>
      </c>
      <c r="W45" s="12">
        <f>G45-INDEX('State measures'!$C$9:$D$9,MATCH(B45,'State measures'!$C$4:$D$4,0))</f>
        <v>-1.2532995084819192E-2</v>
      </c>
      <c r="X45" s="14">
        <f>H45-INDEX('State measures'!$C$10:$D$10,MATCH(B45,'State measures'!$C$4:$D$4,0))</f>
        <v>4.175799353841299</v>
      </c>
      <c r="Y45" s="12">
        <f>I45-INDEX('State measures'!$C$11:$D$11,MATCH(B45,'State measures'!$C$4:$D$4,0))</f>
        <v>-8.171634017778151E-3</v>
      </c>
      <c r="Z45" s="12">
        <f>R45-INDEX('State measures'!$C$20:$D$20,MATCH(B45,'State measures'!$C$4:$D$4,0))</f>
        <v>1.2133582485807301E-2</v>
      </c>
    </row>
    <row r="46" spans="1:26" x14ac:dyDescent="0.3">
      <c r="A46" s="2" t="s">
        <v>109</v>
      </c>
      <c r="B46" s="2" t="s">
        <v>35</v>
      </c>
      <c r="C46" s="10">
        <v>8220</v>
      </c>
      <c r="D46" s="10">
        <v>1495347</v>
      </c>
      <c r="E46" s="10">
        <v>81321</v>
      </c>
      <c r="F46" s="13">
        <v>18.38820230936658</v>
      </c>
      <c r="G46" s="15">
        <v>4.3309002433090021E-2</v>
      </c>
      <c r="H46" s="13">
        <v>83.865024330900255</v>
      </c>
      <c r="I46" s="15">
        <v>0.46533680811209699</v>
      </c>
      <c r="J46" s="15">
        <v>-4.6615144194525624E-3</v>
      </c>
      <c r="K46" s="15">
        <v>0.93722627737226283</v>
      </c>
      <c r="L46" s="15">
        <v>0.98588807785888077</v>
      </c>
      <c r="M46" s="15">
        <v>0.89683698296836978</v>
      </c>
      <c r="N46" s="10">
        <v>68661</v>
      </c>
      <c r="O46" s="10">
        <v>8290</v>
      </c>
      <c r="P46" s="10">
        <v>19070</v>
      </c>
      <c r="Q46" s="16">
        <v>-10780</v>
      </c>
      <c r="R46" s="15">
        <v>0.1207381191651738</v>
      </c>
      <c r="S46" s="10">
        <v>2209</v>
      </c>
      <c r="T46" s="10">
        <v>13343</v>
      </c>
      <c r="U46" s="10">
        <v>17555</v>
      </c>
      <c r="V46" s="14">
        <f>F46-INDEX('State measures'!$C$8:$D$8,MATCH(B46,'State measures'!$C$4:$D$4,0))</f>
        <v>-0.48135747683548047</v>
      </c>
      <c r="W46" s="12">
        <f>G46-INDEX('State measures'!$C$9:$D$9,MATCH(B46,'State measures'!$C$4:$D$4,0))</f>
        <v>-2.3934114542994822E-2</v>
      </c>
      <c r="X46" s="14">
        <f>H46-INDEX('State measures'!$C$10:$D$10,MATCH(B46,'State measures'!$C$4:$D$4,0))</f>
        <v>4.101367073937169</v>
      </c>
      <c r="Y46" s="12">
        <f>I46-INDEX('State measures'!$C$11:$D$11,MATCH(B46,'State measures'!$C$4:$D$4,0))</f>
        <v>-9.1587962108330978E-3</v>
      </c>
      <c r="Z46" s="12">
        <f>R46-INDEX('State measures'!$C$20:$D$20,MATCH(B46,'State measures'!$C$4:$D$4,0))</f>
        <v>1.0067976280157598E-2</v>
      </c>
    </row>
    <row r="47" spans="1:26" x14ac:dyDescent="0.3">
      <c r="A47" s="2" t="s">
        <v>110</v>
      </c>
      <c r="B47" s="2" t="s">
        <v>16</v>
      </c>
      <c r="C47" s="10">
        <v>1744</v>
      </c>
      <c r="D47" s="10">
        <v>171872</v>
      </c>
      <c r="E47" s="10">
        <v>8532</v>
      </c>
      <c r="F47" s="13">
        <v>20.144397562119082</v>
      </c>
      <c r="G47" s="15">
        <v>0.12327981651376151</v>
      </c>
      <c r="H47" s="13">
        <v>74.462442660550465</v>
      </c>
      <c r="I47" s="15">
        <v>0.45195843418357851</v>
      </c>
      <c r="J47" s="15">
        <v>-4.3820190048635188E-2</v>
      </c>
      <c r="K47" s="15">
        <v>0.84403669724770647</v>
      </c>
      <c r="L47" s="15">
        <v>0.97993119266055051</v>
      </c>
      <c r="M47" s="15">
        <v>0.78497706422018354</v>
      </c>
      <c r="N47" s="10">
        <v>8769</v>
      </c>
      <c r="O47" s="10">
        <v>1304</v>
      </c>
      <c r="P47" s="10">
        <v>988</v>
      </c>
      <c r="Q47" s="16">
        <v>316</v>
      </c>
      <c r="R47" s="15">
        <v>0.1487056676930095</v>
      </c>
      <c r="S47" s="10">
        <v>600</v>
      </c>
      <c r="T47" s="10">
        <v>974</v>
      </c>
      <c r="U47" s="10">
        <v>1591</v>
      </c>
      <c r="V47" s="14">
        <f>F47-INDEX('State measures'!$C$8:$D$8,MATCH(B47,'State measures'!$C$4:$D$4,0))</f>
        <v>0.76567950651089234</v>
      </c>
      <c r="W47" s="12">
        <f>G47-INDEX('State measures'!$C$9:$D$9,MATCH(B47,'State measures'!$C$4:$D$4,0))</f>
        <v>6.6501203093361966E-2</v>
      </c>
      <c r="X47" s="14">
        <f>H47-INDEX('State measures'!$C$10:$D$10,MATCH(B47,'State measures'!$C$4:$D$4,0))</f>
        <v>-4.9044715534474363</v>
      </c>
      <c r="Y47" s="12">
        <f>I47-INDEX('State measures'!$C$11:$D$11,MATCH(B47,'State measures'!$C$4:$D$4,0))</f>
        <v>-2.0688116389102618E-2</v>
      </c>
      <c r="Z47" s="12">
        <f>R47-INDEX('State measures'!$C$20:$D$20,MATCH(B47,'State measures'!$C$4:$D$4,0))</f>
        <v>3.8599124759664191E-2</v>
      </c>
    </row>
    <row r="48" spans="1:26" x14ac:dyDescent="0.3">
      <c r="A48" s="2" t="s">
        <v>110</v>
      </c>
      <c r="B48" s="2" t="s">
        <v>35</v>
      </c>
      <c r="C48" s="10">
        <v>1748</v>
      </c>
      <c r="D48" s="10">
        <v>166949</v>
      </c>
      <c r="E48" s="10">
        <v>8331</v>
      </c>
      <c r="F48" s="13">
        <v>20.0394910574961</v>
      </c>
      <c r="G48" s="15">
        <v>0.16876430205949661</v>
      </c>
      <c r="H48" s="13">
        <v>74.869050343249427</v>
      </c>
      <c r="I48" s="15">
        <v>0.45502518733265851</v>
      </c>
      <c r="J48" s="15">
        <v>-3.8586563668233383E-2</v>
      </c>
      <c r="K48" s="15">
        <v>0.85240274599542332</v>
      </c>
      <c r="L48" s="15">
        <v>0.9708237986270023</v>
      </c>
      <c r="M48" s="15">
        <v>0.77459954233409611</v>
      </c>
      <c r="N48" s="10">
        <v>8760</v>
      </c>
      <c r="O48" s="10">
        <v>1475</v>
      </c>
      <c r="P48" s="10">
        <v>947</v>
      </c>
      <c r="Q48" s="16">
        <v>528</v>
      </c>
      <c r="R48" s="15">
        <v>0.16837899543379001</v>
      </c>
      <c r="S48" s="10">
        <v>713</v>
      </c>
      <c r="T48" s="10">
        <v>854</v>
      </c>
      <c r="U48" s="10">
        <v>1615</v>
      </c>
      <c r="V48" s="14">
        <f>F48-INDEX('State measures'!$C$8:$D$8,MATCH(B48,'State measures'!$C$4:$D$4,0))</f>
        <v>1.1699312712940397</v>
      </c>
      <c r="W48" s="12">
        <f>G48-INDEX('State measures'!$C$9:$D$9,MATCH(B48,'State measures'!$C$4:$D$4,0))</f>
        <v>0.10152118508341176</v>
      </c>
      <c r="X48" s="14">
        <f>H48-INDEX('State measures'!$C$10:$D$10,MATCH(B48,'State measures'!$C$4:$D$4,0))</f>
        <v>-4.894606913713659</v>
      </c>
      <c r="Y48" s="12">
        <f>I48-INDEX('State measures'!$C$11:$D$11,MATCH(B48,'State measures'!$C$4:$D$4,0))</f>
        <v>-1.9470416990271577E-2</v>
      </c>
      <c r="Z48" s="12">
        <f>R48-INDEX('State measures'!$C$20:$D$20,MATCH(B48,'State measures'!$C$4:$D$4,0))</f>
        <v>5.7708852548773809E-2</v>
      </c>
    </row>
    <row r="49" spans="1:26" x14ac:dyDescent="0.3">
      <c r="A49" s="2" t="s">
        <v>111</v>
      </c>
      <c r="B49" s="2" t="s">
        <v>16</v>
      </c>
      <c r="C49" s="10">
        <v>2765</v>
      </c>
      <c r="D49" s="10">
        <v>417057</v>
      </c>
      <c r="E49" s="10">
        <v>17806</v>
      </c>
      <c r="F49" s="13">
        <v>23.422273390991801</v>
      </c>
      <c r="G49" s="15">
        <v>4.3761301989150091E-2</v>
      </c>
      <c r="H49" s="13">
        <v>82.355334538878836</v>
      </c>
      <c r="I49" s="15">
        <v>0.46936749652925142</v>
      </c>
      <c r="J49" s="15">
        <v>-1.5311607028121951E-2</v>
      </c>
      <c r="K49" s="15">
        <v>0.95406871609403254</v>
      </c>
      <c r="L49" s="15">
        <v>0.98915009041591317</v>
      </c>
      <c r="M49" s="15">
        <v>0.88571428571428568</v>
      </c>
      <c r="N49" s="10">
        <v>18279</v>
      </c>
      <c r="O49" s="10">
        <v>2575</v>
      </c>
      <c r="P49" s="10">
        <v>2064</v>
      </c>
      <c r="Q49" s="16">
        <v>511</v>
      </c>
      <c r="R49" s="15">
        <v>0.14087203895180259</v>
      </c>
      <c r="S49" s="10">
        <v>943</v>
      </c>
      <c r="T49" s="10">
        <v>2657</v>
      </c>
      <c r="U49" s="10">
        <v>3738</v>
      </c>
      <c r="V49" s="14">
        <f>F49-INDEX('State measures'!$C$8:$D$8,MATCH(B49,'State measures'!$C$4:$D$4,0))</f>
        <v>4.043555335383612</v>
      </c>
      <c r="W49" s="12">
        <f>G49-INDEX('State measures'!$C$9:$D$9,MATCH(B49,'State measures'!$C$4:$D$4,0))</f>
        <v>-1.3017311431249443E-2</v>
      </c>
      <c r="X49" s="14">
        <f>H49-INDEX('State measures'!$C$10:$D$10,MATCH(B49,'State measures'!$C$4:$D$4,0))</f>
        <v>2.9884203248809342</v>
      </c>
      <c r="Y49" s="12">
        <f>I49-INDEX('State measures'!$C$11:$D$11,MATCH(B49,'State measures'!$C$4:$D$4,0))</f>
        <v>-3.2790540434297077E-3</v>
      </c>
      <c r="Z49" s="12">
        <f>R49-INDEX('State measures'!$C$20:$D$20,MATCH(B49,'State measures'!$C$4:$D$4,0))</f>
        <v>3.0765496018457281E-2</v>
      </c>
    </row>
    <row r="50" spans="1:26" x14ac:dyDescent="0.3">
      <c r="A50" s="2" t="s">
        <v>111</v>
      </c>
      <c r="B50" s="2" t="s">
        <v>35</v>
      </c>
      <c r="C50" s="10">
        <v>2785</v>
      </c>
      <c r="D50" s="10">
        <v>410486</v>
      </c>
      <c r="E50" s="10">
        <v>17514</v>
      </c>
      <c r="F50" s="13">
        <v>23.437592782916521</v>
      </c>
      <c r="G50" s="15">
        <v>6.4991023339317777E-2</v>
      </c>
      <c r="H50" s="13">
        <v>83.238132854578097</v>
      </c>
      <c r="I50" s="15">
        <v>0.4713291074482443</v>
      </c>
      <c r="J50" s="15">
        <v>-8.0709442873576065E-3</v>
      </c>
      <c r="K50" s="15">
        <v>0.95475763016157988</v>
      </c>
      <c r="L50" s="15">
        <v>0.98994614003590664</v>
      </c>
      <c r="M50" s="15">
        <v>0.8926391382405745</v>
      </c>
      <c r="N50" s="10">
        <v>18334</v>
      </c>
      <c r="O50" s="10">
        <v>2766</v>
      </c>
      <c r="P50" s="10">
        <v>1906</v>
      </c>
      <c r="Q50" s="16">
        <v>860</v>
      </c>
      <c r="R50" s="15">
        <v>0.15086724119122941</v>
      </c>
      <c r="S50" s="10">
        <v>1052</v>
      </c>
      <c r="T50" s="10">
        <v>2236</v>
      </c>
      <c r="U50" s="10">
        <v>3513</v>
      </c>
      <c r="V50" s="14">
        <f>F50-INDEX('State measures'!$C$8:$D$8,MATCH(B50,'State measures'!$C$4:$D$4,0))</f>
        <v>4.5680329967144608</v>
      </c>
      <c r="W50" s="12">
        <f>G50-INDEX('State measures'!$C$9:$D$9,MATCH(B50,'State measures'!$C$4:$D$4,0))</f>
        <v>-2.2520936367670663E-3</v>
      </c>
      <c r="X50" s="14">
        <f>H50-INDEX('State measures'!$C$10:$D$10,MATCH(B50,'State measures'!$C$4:$D$4,0))</f>
        <v>3.4744755976150117</v>
      </c>
      <c r="Y50" s="12">
        <f>I50-INDEX('State measures'!$C$11:$D$11,MATCH(B50,'State measures'!$C$4:$D$4,0))</f>
        <v>-3.1664968746857869E-3</v>
      </c>
      <c r="Z50" s="12">
        <f>R50-INDEX('State measures'!$C$20:$D$20,MATCH(B50,'State measures'!$C$4:$D$4,0))</f>
        <v>4.0197098306213208E-2</v>
      </c>
    </row>
    <row r="51" spans="1:26" x14ac:dyDescent="0.3">
      <c r="A51" s="2" t="s">
        <v>112</v>
      </c>
      <c r="B51" s="2" t="s">
        <v>16</v>
      </c>
      <c r="C51" s="10">
        <v>2219</v>
      </c>
      <c r="D51" s="10">
        <v>287897</v>
      </c>
      <c r="E51" s="10">
        <v>15348</v>
      </c>
      <c r="F51" s="13">
        <v>18.75794891842585</v>
      </c>
      <c r="G51" s="15">
        <v>2.4335286164939161E-2</v>
      </c>
      <c r="H51" s="13">
        <v>81.134520054078408</v>
      </c>
      <c r="I51" s="15">
        <v>0.47146375266154222</v>
      </c>
      <c r="J51" s="15">
        <v>-1.341527806651166E-2</v>
      </c>
      <c r="K51" s="15">
        <v>0.95448400180261384</v>
      </c>
      <c r="L51" s="15">
        <v>0.98783235691753046</v>
      </c>
      <c r="M51" s="15">
        <v>0.90130689499774674</v>
      </c>
      <c r="N51" s="10">
        <v>13660</v>
      </c>
      <c r="O51" s="10">
        <v>1113</v>
      </c>
      <c r="P51" s="10">
        <v>2693</v>
      </c>
      <c r="Q51" s="16">
        <v>-1580</v>
      </c>
      <c r="R51" s="15">
        <v>8.14787701317716E-2</v>
      </c>
      <c r="S51" s="10">
        <v>380</v>
      </c>
      <c r="T51" s="10">
        <v>3069</v>
      </c>
      <c r="U51" s="10">
        <v>4157</v>
      </c>
      <c r="V51" s="14">
        <f>F51-INDEX('State measures'!$C$8:$D$8,MATCH(B51,'State measures'!$C$4:$D$4,0))</f>
        <v>-0.62076913718233939</v>
      </c>
      <c r="W51" s="12">
        <f>G51-INDEX('State measures'!$C$9:$D$9,MATCH(B51,'State measures'!$C$4:$D$4,0))</f>
        <v>-3.2443327255460369E-2</v>
      </c>
      <c r="X51" s="14">
        <f>H51-INDEX('State measures'!$C$10:$D$10,MATCH(B51,'State measures'!$C$4:$D$4,0))</f>
        <v>1.7676058400805061</v>
      </c>
      <c r="Y51" s="12">
        <f>I51-INDEX('State measures'!$C$11:$D$11,MATCH(B51,'State measures'!$C$4:$D$4,0))</f>
        <v>-1.1827979111388998E-3</v>
      </c>
      <c r="Z51" s="12">
        <f>R51-INDEX('State measures'!$C$20:$D$20,MATCH(B51,'State measures'!$C$4:$D$4,0))</f>
        <v>-2.8627772801573706E-2</v>
      </c>
    </row>
    <row r="52" spans="1:26" x14ac:dyDescent="0.3">
      <c r="A52" s="2" t="s">
        <v>112</v>
      </c>
      <c r="B52" s="2" t="s">
        <v>35</v>
      </c>
      <c r="C52" s="10">
        <v>2227</v>
      </c>
      <c r="D52" s="10">
        <v>281339</v>
      </c>
      <c r="E52" s="10">
        <v>15156</v>
      </c>
      <c r="F52" s="13">
        <v>18.562879387701241</v>
      </c>
      <c r="G52" s="15">
        <v>4.1760215536596319E-2</v>
      </c>
      <c r="H52" s="13">
        <v>79.963628199371357</v>
      </c>
      <c r="I52" s="15">
        <v>0.47217769310333801</v>
      </c>
      <c r="J52" s="15">
        <v>-8.9702086797140423E-3</v>
      </c>
      <c r="K52" s="15">
        <v>0.92725639874270316</v>
      </c>
      <c r="L52" s="15">
        <v>0.97844634036820832</v>
      </c>
      <c r="M52" s="15">
        <v>0.84553210597215989</v>
      </c>
      <c r="N52" s="10">
        <v>13660</v>
      </c>
      <c r="O52" s="10">
        <v>1232</v>
      </c>
      <c r="P52" s="10">
        <v>2604</v>
      </c>
      <c r="Q52" s="16">
        <v>-1372</v>
      </c>
      <c r="R52" s="15">
        <v>9.0190336749633962E-2</v>
      </c>
      <c r="S52" s="10">
        <v>458</v>
      </c>
      <c r="T52" s="10">
        <v>3303</v>
      </c>
      <c r="U52" s="10">
        <v>4764</v>
      </c>
      <c r="V52" s="14">
        <f>F52-INDEX('State measures'!$C$8:$D$8,MATCH(B52,'State measures'!$C$4:$D$4,0))</f>
        <v>-0.30668039850081996</v>
      </c>
      <c r="W52" s="12">
        <f>G52-INDEX('State measures'!$C$9:$D$9,MATCH(B52,'State measures'!$C$4:$D$4,0))</f>
        <v>-2.5482901439488524E-2</v>
      </c>
      <c r="X52" s="14">
        <f>H52-INDEX('State measures'!$C$10:$D$10,MATCH(B52,'State measures'!$C$4:$D$4,0))</f>
        <v>0.19997094240827096</v>
      </c>
      <c r="Y52" s="12">
        <f>I52-INDEX('State measures'!$C$11:$D$11,MATCH(B52,'State measures'!$C$4:$D$4,0))</f>
        <v>-2.3179112195920726E-3</v>
      </c>
      <c r="Z52" s="12">
        <f>R52-INDEX('State measures'!$C$20:$D$20,MATCH(B52,'State measures'!$C$4:$D$4,0))</f>
        <v>-2.0479806135382236E-2</v>
      </c>
    </row>
    <row r="53" spans="1:26" x14ac:dyDescent="0.3">
      <c r="A53" s="2" t="s">
        <v>113</v>
      </c>
      <c r="B53" s="2" t="s">
        <v>16</v>
      </c>
      <c r="C53" s="10">
        <v>2683</v>
      </c>
      <c r="D53" s="10">
        <v>398695</v>
      </c>
      <c r="E53" s="10">
        <v>26304</v>
      </c>
      <c r="F53" s="13">
        <v>15.15720042579076</v>
      </c>
      <c r="G53" s="15">
        <v>1.975400670890794E-2</v>
      </c>
      <c r="H53" s="13">
        <v>84.867685426761085</v>
      </c>
      <c r="I53" s="15">
        <v>0.46294034286860891</v>
      </c>
      <c r="J53" s="15">
        <v>-9.892181617726814E-3</v>
      </c>
      <c r="K53" s="15">
        <v>0.97912784196794633</v>
      </c>
      <c r="L53" s="15">
        <v>0.99739098024599326</v>
      </c>
      <c r="M53" s="15">
        <v>0.93291092061125602</v>
      </c>
      <c r="N53" s="10">
        <v>20429</v>
      </c>
      <c r="O53" s="10">
        <v>1367</v>
      </c>
      <c r="P53" s="10">
        <v>7074</v>
      </c>
      <c r="Q53" s="16">
        <v>-5707</v>
      </c>
      <c r="R53" s="15">
        <v>6.6914680111606048E-2</v>
      </c>
      <c r="S53" s="10">
        <v>394</v>
      </c>
      <c r="T53" s="10">
        <v>3774</v>
      </c>
      <c r="U53" s="10">
        <v>4855</v>
      </c>
      <c r="V53" s="14">
        <f>F53-INDEX('State measures'!$C$8:$D$8,MATCH(B53,'State measures'!$C$4:$D$4,0))</f>
        <v>-4.2215176298174288</v>
      </c>
      <c r="W53" s="12">
        <f>G53-INDEX('State measures'!$C$9:$D$9,MATCH(B53,'State measures'!$C$4:$D$4,0))</f>
        <v>-3.7024606711491589E-2</v>
      </c>
      <c r="X53" s="14">
        <f>H53-INDEX('State measures'!$C$10:$D$10,MATCH(B53,'State measures'!$C$4:$D$4,0))</f>
        <v>5.5007712127631834</v>
      </c>
      <c r="Y53" s="12">
        <f>I53-INDEX('State measures'!$C$11:$D$11,MATCH(B53,'State measures'!$C$4:$D$4,0))</f>
        <v>-9.7062077040722117E-3</v>
      </c>
      <c r="Z53" s="12">
        <f>R53-INDEX('State measures'!$C$20:$D$20,MATCH(B53,'State measures'!$C$4:$D$4,0))</f>
        <v>-4.3191862821739258E-2</v>
      </c>
    </row>
    <row r="54" spans="1:26" x14ac:dyDescent="0.3">
      <c r="A54" s="2" t="s">
        <v>113</v>
      </c>
      <c r="B54" s="2" t="s">
        <v>35</v>
      </c>
      <c r="C54" s="10">
        <v>2671</v>
      </c>
      <c r="D54" s="10">
        <v>382422</v>
      </c>
      <c r="E54" s="10">
        <v>26366</v>
      </c>
      <c r="F54" s="13">
        <v>14.50436167791853</v>
      </c>
      <c r="G54" s="15">
        <v>2.3212280044926991E-2</v>
      </c>
      <c r="H54" s="13">
        <v>85.414863347061043</v>
      </c>
      <c r="I54" s="15">
        <v>0.46576818279283089</v>
      </c>
      <c r="J54" s="15">
        <v>-1.3184073521254889E-2</v>
      </c>
      <c r="K54" s="15">
        <v>0.98053163609135152</v>
      </c>
      <c r="L54" s="15">
        <v>0.99400973418195437</v>
      </c>
      <c r="M54" s="15">
        <v>0.93186072631973049</v>
      </c>
      <c r="N54" s="10">
        <v>20137</v>
      </c>
      <c r="O54" s="10">
        <v>1329</v>
      </c>
      <c r="P54" s="10">
        <v>7365</v>
      </c>
      <c r="Q54" s="16">
        <v>-6036</v>
      </c>
      <c r="R54" s="15">
        <v>6.5997914287133141E-2</v>
      </c>
      <c r="S54" s="10">
        <v>405</v>
      </c>
      <c r="T54" s="10">
        <v>3659</v>
      </c>
      <c r="U54" s="10">
        <v>5231</v>
      </c>
      <c r="V54" s="14">
        <f>F54-INDEX('State measures'!$C$8:$D$8,MATCH(B54,'State measures'!$C$4:$D$4,0))</f>
        <v>-4.3651981082835309</v>
      </c>
      <c r="W54" s="12">
        <f>G54-INDEX('State measures'!$C$9:$D$9,MATCH(B54,'State measures'!$C$4:$D$4,0))</f>
        <v>-4.4030836931157849E-2</v>
      </c>
      <c r="X54" s="14">
        <f>H54-INDEX('State measures'!$C$10:$D$10,MATCH(B54,'State measures'!$C$4:$D$4,0))</f>
        <v>5.6512060900979577</v>
      </c>
      <c r="Y54" s="12">
        <f>I54-INDEX('State measures'!$C$11:$D$11,MATCH(B54,'State measures'!$C$4:$D$4,0))</f>
        <v>-8.7274215300991997E-3</v>
      </c>
      <c r="Z54" s="12">
        <f>R54-INDEX('State measures'!$C$20:$D$20,MATCH(B54,'State measures'!$C$4:$D$4,0))</f>
        <v>-4.4672228597883057E-2</v>
      </c>
    </row>
    <row r="55" spans="1:26" x14ac:dyDescent="0.3">
      <c r="A55" s="2" t="s">
        <v>114</v>
      </c>
      <c r="B55" s="2" t="s">
        <v>16</v>
      </c>
      <c r="C55" s="10">
        <v>4361</v>
      </c>
      <c r="D55" s="10">
        <v>694124</v>
      </c>
      <c r="E55" s="10">
        <v>36055</v>
      </c>
      <c r="F55" s="13">
        <v>19.251809735126891</v>
      </c>
      <c r="G55" s="15">
        <v>4.5861041045631733E-2</v>
      </c>
      <c r="H55" s="13">
        <v>82.131391882595736</v>
      </c>
      <c r="I55" s="15">
        <v>0.46996502065913293</v>
      </c>
      <c r="J55" s="15">
        <v>-9.1218724675934948E-3</v>
      </c>
      <c r="K55" s="15">
        <v>0.87250630589314382</v>
      </c>
      <c r="L55" s="15">
        <v>0.98670029809676685</v>
      </c>
      <c r="M55" s="15">
        <v>0.90094015134143546</v>
      </c>
      <c r="N55" s="10">
        <v>31778</v>
      </c>
      <c r="O55" s="10">
        <v>3176</v>
      </c>
      <c r="P55" s="10">
        <v>6830</v>
      </c>
      <c r="Q55" s="16">
        <v>-3654</v>
      </c>
      <c r="R55" s="15">
        <v>9.9943357039461264E-2</v>
      </c>
      <c r="S55" s="10">
        <v>1117</v>
      </c>
      <c r="T55" s="10">
        <v>5353</v>
      </c>
      <c r="U55" s="10">
        <v>7078</v>
      </c>
      <c r="V55" s="14">
        <f>F55-INDEX('State measures'!$C$8:$D$8,MATCH(B55,'State measures'!$C$4:$D$4,0))</f>
        <v>-0.12690832048129863</v>
      </c>
      <c r="W55" s="12">
        <f>G55-INDEX('State measures'!$C$9:$D$9,MATCH(B55,'State measures'!$C$4:$D$4,0))</f>
        <v>-1.0917572374767801E-2</v>
      </c>
      <c r="X55" s="14">
        <f>H55-INDEX('State measures'!$C$10:$D$10,MATCH(B55,'State measures'!$C$4:$D$4,0))</f>
        <v>2.7644776685978343</v>
      </c>
      <c r="Y55" s="12">
        <f>I55-INDEX('State measures'!$C$11:$D$11,MATCH(B55,'State measures'!$C$4:$D$4,0))</f>
        <v>-2.6815299135481974E-3</v>
      </c>
      <c r="Z55" s="12">
        <f>R55-INDEX('State measures'!$C$20:$D$20,MATCH(B55,'State measures'!$C$4:$D$4,0))</f>
        <v>-1.0163185893884041E-2</v>
      </c>
    </row>
    <row r="56" spans="1:26" x14ac:dyDescent="0.3">
      <c r="A56" s="2" t="s">
        <v>114</v>
      </c>
      <c r="B56" s="2" t="s">
        <v>35</v>
      </c>
      <c r="C56" s="10">
        <v>4374</v>
      </c>
      <c r="D56" s="10">
        <v>681231</v>
      </c>
      <c r="E56" s="10">
        <v>36262</v>
      </c>
      <c r="F56" s="13">
        <v>18.786360377254429</v>
      </c>
      <c r="G56" s="15">
        <v>5.8070416095107463E-2</v>
      </c>
      <c r="H56" s="13">
        <v>83.234247828075013</v>
      </c>
      <c r="I56" s="15">
        <v>0.47195297923905399</v>
      </c>
      <c r="J56" s="15">
        <v>-5.0257957015415466E-3</v>
      </c>
      <c r="K56" s="15">
        <v>0.88248742569730221</v>
      </c>
      <c r="L56" s="15">
        <v>0.98582533150434382</v>
      </c>
      <c r="M56" s="15">
        <v>0.92112482853223598</v>
      </c>
      <c r="N56" s="10">
        <v>31754</v>
      </c>
      <c r="O56" s="10">
        <v>3218</v>
      </c>
      <c r="P56" s="10">
        <v>7006</v>
      </c>
      <c r="Q56" s="16">
        <v>-3788</v>
      </c>
      <c r="R56" s="15">
        <v>0.1013415632676198</v>
      </c>
      <c r="S56" s="10">
        <v>1225</v>
      </c>
      <c r="T56" s="10">
        <v>5075</v>
      </c>
      <c r="U56" s="10">
        <v>7151</v>
      </c>
      <c r="V56" s="14">
        <f>F56-INDEX('State measures'!$C$8:$D$8,MATCH(B56,'State measures'!$C$4:$D$4,0))</f>
        <v>-8.3199408947631781E-2</v>
      </c>
      <c r="W56" s="12">
        <f>G56-INDEX('State measures'!$C$9:$D$9,MATCH(B56,'State measures'!$C$4:$D$4,0))</f>
        <v>-9.1727008809773802E-3</v>
      </c>
      <c r="X56" s="14">
        <f>H56-INDEX('State measures'!$C$10:$D$10,MATCH(B56,'State measures'!$C$4:$D$4,0))</f>
        <v>3.4705905711119271</v>
      </c>
      <c r="Y56" s="12">
        <f>I56-INDEX('State measures'!$C$11:$D$11,MATCH(B56,'State measures'!$C$4:$D$4,0))</f>
        <v>-2.5426250838760933E-3</v>
      </c>
      <c r="Z56" s="12">
        <f>R56-INDEX('State measures'!$C$20:$D$20,MATCH(B56,'State measures'!$C$4:$D$4,0))</f>
        <v>-9.3285796173964014E-3</v>
      </c>
    </row>
    <row r="57" spans="1:26" x14ac:dyDescent="0.3">
      <c r="A57" s="2" t="s">
        <v>115</v>
      </c>
      <c r="B57" s="2" t="s">
        <v>16</v>
      </c>
      <c r="C57" s="10">
        <v>2205</v>
      </c>
      <c r="D57" s="10">
        <v>323409</v>
      </c>
      <c r="E57" s="10">
        <v>16155</v>
      </c>
      <c r="F57" s="13">
        <v>20.019127205199631</v>
      </c>
      <c r="G57" s="15">
        <v>3.8548752834467119E-2</v>
      </c>
      <c r="H57" s="13">
        <v>77.539682539682545</v>
      </c>
      <c r="I57" s="15">
        <v>0.47348404033282931</v>
      </c>
      <c r="J57" s="15">
        <v>8.5564647969438301E-5</v>
      </c>
      <c r="K57" s="15">
        <v>0.92199546485260775</v>
      </c>
      <c r="L57" s="15">
        <v>0.97188208616780047</v>
      </c>
      <c r="M57" s="15">
        <v>0.87074829931972786</v>
      </c>
      <c r="N57" s="10">
        <v>14857</v>
      </c>
      <c r="O57" s="10">
        <v>1617</v>
      </c>
      <c r="P57" s="10">
        <v>2855</v>
      </c>
      <c r="Q57" s="16">
        <v>-1238</v>
      </c>
      <c r="R57" s="15">
        <v>0.1088375849767786</v>
      </c>
      <c r="S57" s="10">
        <v>510</v>
      </c>
      <c r="T57" s="10">
        <v>3078</v>
      </c>
      <c r="U57" s="10">
        <v>4538</v>
      </c>
      <c r="V57" s="14">
        <f>F57-INDEX('State measures'!$C$8:$D$8,MATCH(B57,'State measures'!$C$4:$D$4,0))</f>
        <v>0.64040914959144146</v>
      </c>
      <c r="W57" s="12">
        <f>G57-INDEX('State measures'!$C$9:$D$9,MATCH(B57,'State measures'!$C$4:$D$4,0))</f>
        <v>-1.8229860585932414E-2</v>
      </c>
      <c r="X57" s="14">
        <f>H57-INDEX('State measures'!$C$10:$D$10,MATCH(B57,'State measures'!$C$4:$D$4,0))</f>
        <v>-1.8272316743153567</v>
      </c>
      <c r="Y57" s="12">
        <f>I57-INDEX('State measures'!$C$11:$D$11,MATCH(B57,'State measures'!$C$4:$D$4,0))</f>
        <v>8.3748976014819121E-4</v>
      </c>
      <c r="Z57" s="12">
        <f>R57-INDEX('State measures'!$C$20:$D$20,MATCH(B57,'State measures'!$C$4:$D$4,0))</f>
        <v>-1.268957956566702E-3</v>
      </c>
    </row>
    <row r="58" spans="1:26" x14ac:dyDescent="0.3">
      <c r="A58" s="2" t="s">
        <v>115</v>
      </c>
      <c r="B58" s="2" t="s">
        <v>35</v>
      </c>
      <c r="C58" s="10">
        <v>2210</v>
      </c>
      <c r="D58" s="10">
        <v>309558</v>
      </c>
      <c r="E58" s="10">
        <v>16262</v>
      </c>
      <c r="F58" s="13">
        <v>19.03566596974542</v>
      </c>
      <c r="G58" s="15">
        <v>4.8416289592760182E-2</v>
      </c>
      <c r="H58" s="13">
        <v>77.699185520361993</v>
      </c>
      <c r="I58" s="15">
        <v>0.47750340808507608</v>
      </c>
      <c r="J58" s="15">
        <v>4.8593807430572511E-3</v>
      </c>
      <c r="K58" s="15">
        <v>0.91493212669683255</v>
      </c>
      <c r="L58" s="15">
        <v>0.96515837104072399</v>
      </c>
      <c r="M58" s="15">
        <v>0.85791855203619904</v>
      </c>
      <c r="N58" s="10">
        <v>14619</v>
      </c>
      <c r="O58" s="10">
        <v>1503</v>
      </c>
      <c r="P58" s="10">
        <v>3086</v>
      </c>
      <c r="Q58" s="16">
        <v>-1583</v>
      </c>
      <c r="R58" s="15">
        <v>0.1028114098091525</v>
      </c>
      <c r="S58" s="10">
        <v>519</v>
      </c>
      <c r="T58" s="10">
        <v>3042</v>
      </c>
      <c r="U58" s="10">
        <v>4684</v>
      </c>
      <c r="V58" s="14">
        <f>F58-INDEX('State measures'!$C$8:$D$8,MATCH(B58,'State measures'!$C$4:$D$4,0))</f>
        <v>0.16610618354335926</v>
      </c>
      <c r="W58" s="12">
        <f>G58-INDEX('State measures'!$C$9:$D$9,MATCH(B58,'State measures'!$C$4:$D$4,0))</f>
        <v>-1.8826827383324661E-2</v>
      </c>
      <c r="X58" s="14">
        <f>H58-INDEX('State measures'!$C$10:$D$10,MATCH(B58,'State measures'!$C$4:$D$4,0))</f>
        <v>-2.0644717366010923</v>
      </c>
      <c r="Y58" s="12">
        <f>I58-INDEX('State measures'!$C$11:$D$11,MATCH(B58,'State measures'!$C$4:$D$4,0))</f>
        <v>3.0078037621459885E-3</v>
      </c>
      <c r="Z58" s="12">
        <f>R58-INDEX('State measures'!$C$20:$D$20,MATCH(B58,'State measures'!$C$4:$D$4,0))</f>
        <v>-7.858733075863697E-3</v>
      </c>
    </row>
    <row r="59" spans="1:26" x14ac:dyDescent="0.3">
      <c r="A59" s="2" t="s">
        <v>116</v>
      </c>
      <c r="B59" s="2" t="s">
        <v>16</v>
      </c>
      <c r="C59" s="10">
        <v>1394</v>
      </c>
      <c r="D59" s="10">
        <v>243107</v>
      </c>
      <c r="E59" s="10">
        <v>11475</v>
      </c>
      <c r="F59" s="13">
        <v>21.18579520697168</v>
      </c>
      <c r="G59" s="15">
        <v>3.8737446197991389E-2</v>
      </c>
      <c r="H59" s="13">
        <v>82.290172166427553</v>
      </c>
      <c r="I59" s="15">
        <v>0.45679474470089299</v>
      </c>
      <c r="J59" s="15">
        <v>-5.1407301984172649E-3</v>
      </c>
      <c r="K59" s="15">
        <v>0.95408895265423244</v>
      </c>
      <c r="L59" s="15">
        <v>0.98852223816355811</v>
      </c>
      <c r="M59" s="15">
        <v>0.91391678622668582</v>
      </c>
      <c r="N59" s="10">
        <v>10851</v>
      </c>
      <c r="O59" s="10">
        <v>1633</v>
      </c>
      <c r="P59" s="10">
        <v>2195</v>
      </c>
      <c r="Q59" s="16">
        <v>-562</v>
      </c>
      <c r="R59" s="15">
        <v>0.15049304211593401</v>
      </c>
      <c r="S59" s="10">
        <v>437</v>
      </c>
      <c r="T59" s="10">
        <v>1587</v>
      </c>
      <c r="U59" s="10">
        <v>2105</v>
      </c>
      <c r="V59" s="14">
        <f>F59-INDEX('State measures'!$C$8:$D$8,MATCH(B59,'State measures'!$C$4:$D$4,0))</f>
        <v>1.8070771513634902</v>
      </c>
      <c r="W59" s="12">
        <f>G59-INDEX('State measures'!$C$9:$D$9,MATCH(B59,'State measures'!$C$4:$D$4,0))</f>
        <v>-1.8041167222408144E-2</v>
      </c>
      <c r="X59" s="14">
        <f>H59-INDEX('State measures'!$C$10:$D$10,MATCH(B59,'State measures'!$C$4:$D$4,0))</f>
        <v>2.9232579524296511</v>
      </c>
      <c r="Y59" s="12">
        <f>I59-INDEX('State measures'!$C$11:$D$11,MATCH(B59,'State measures'!$C$4:$D$4,0))</f>
        <v>-1.5851805871788138E-2</v>
      </c>
      <c r="Z59" s="12">
        <f>R59-INDEX('State measures'!$C$20:$D$20,MATCH(B59,'State measures'!$C$4:$D$4,0))</f>
        <v>4.03864991825887E-2</v>
      </c>
    </row>
    <row r="60" spans="1:26" x14ac:dyDescent="0.3">
      <c r="A60" s="2" t="s">
        <v>116</v>
      </c>
      <c r="B60" s="2" t="s">
        <v>35</v>
      </c>
      <c r="C60" s="10">
        <v>1399</v>
      </c>
      <c r="D60" s="10">
        <v>235588</v>
      </c>
      <c r="E60" s="10">
        <v>11766</v>
      </c>
      <c r="F60" s="13">
        <v>20.022777494475609</v>
      </c>
      <c r="G60" s="15">
        <v>3.5025017869907082E-2</v>
      </c>
      <c r="H60" s="13">
        <v>82.612580414581842</v>
      </c>
      <c r="I60" s="15">
        <v>0.45832979608469021</v>
      </c>
      <c r="J60" s="15">
        <v>-8.2173385131323884E-3</v>
      </c>
      <c r="K60" s="15">
        <v>0.95425303788420301</v>
      </c>
      <c r="L60" s="15">
        <v>0.98641887062187272</v>
      </c>
      <c r="M60" s="15">
        <v>0.91136526090064329</v>
      </c>
      <c r="N60" s="10">
        <v>10756</v>
      </c>
      <c r="O60" s="10">
        <v>1545</v>
      </c>
      <c r="P60" s="10">
        <v>2481</v>
      </c>
      <c r="Q60" s="16">
        <v>-936</v>
      </c>
      <c r="R60" s="15">
        <v>0.14364075864633691</v>
      </c>
      <c r="S60" s="10">
        <v>398</v>
      </c>
      <c r="T60" s="10">
        <v>1643</v>
      </c>
      <c r="U60" s="10">
        <v>2327</v>
      </c>
      <c r="V60" s="14">
        <f>F60-INDEX('State measures'!$C$8:$D$8,MATCH(B60,'State measures'!$C$4:$D$4,0))</f>
        <v>1.153217708273548</v>
      </c>
      <c r="W60" s="12">
        <f>G60-INDEX('State measures'!$C$9:$D$9,MATCH(B60,'State measures'!$C$4:$D$4,0))</f>
        <v>-3.2218099106177761E-2</v>
      </c>
      <c r="X60" s="14">
        <f>H60-INDEX('State measures'!$C$10:$D$10,MATCH(B60,'State measures'!$C$4:$D$4,0))</f>
        <v>2.8489231576187564</v>
      </c>
      <c r="Y60" s="12">
        <f>I60-INDEX('State measures'!$C$11:$D$11,MATCH(B60,'State measures'!$C$4:$D$4,0))</f>
        <v>-1.6165808238239876E-2</v>
      </c>
      <c r="Z60" s="12">
        <f>R60-INDEX('State measures'!$C$20:$D$20,MATCH(B60,'State measures'!$C$4:$D$4,0))</f>
        <v>3.297061576132071E-2</v>
      </c>
    </row>
    <row r="61" spans="1:26" x14ac:dyDescent="0.3">
      <c r="A61" s="2" t="s">
        <v>117</v>
      </c>
      <c r="B61" s="2" t="s">
        <v>16</v>
      </c>
      <c r="C61" s="10">
        <v>2256</v>
      </c>
      <c r="D61" s="10">
        <v>416261</v>
      </c>
      <c r="E61" s="10">
        <v>22633</v>
      </c>
      <c r="F61" s="13">
        <v>18.39177307471391</v>
      </c>
      <c r="G61" s="15">
        <v>1.9946808510638299E-2</v>
      </c>
      <c r="H61" s="13">
        <v>82.662898936170208</v>
      </c>
      <c r="I61" s="15">
        <v>0.4630628379790564</v>
      </c>
      <c r="J61" s="15">
        <v>-2.7618965757701341E-2</v>
      </c>
      <c r="K61" s="15">
        <v>0.95789007092198586</v>
      </c>
      <c r="L61" s="15">
        <v>0.99423758865248224</v>
      </c>
      <c r="M61" s="15">
        <v>0.90026595744680848</v>
      </c>
      <c r="N61" s="10">
        <v>18591</v>
      </c>
      <c r="O61" s="10">
        <v>1367</v>
      </c>
      <c r="P61" s="10">
        <v>4947</v>
      </c>
      <c r="Q61" s="16">
        <v>-3580</v>
      </c>
      <c r="R61" s="15">
        <v>7.3530202786294449E-2</v>
      </c>
      <c r="S61" s="10">
        <v>459</v>
      </c>
      <c r="T61" s="10">
        <v>4468</v>
      </c>
      <c r="U61" s="10">
        <v>5851</v>
      </c>
      <c r="V61" s="14">
        <f>F61-INDEX('State measures'!$C$8:$D$8,MATCH(B61,'State measures'!$C$4:$D$4,0))</f>
        <v>-0.98694498089427896</v>
      </c>
      <c r="W61" s="12">
        <f>G61-INDEX('State measures'!$C$9:$D$9,MATCH(B61,'State measures'!$C$4:$D$4,0))</f>
        <v>-3.6831804909761234E-2</v>
      </c>
      <c r="X61" s="14">
        <f>H61-INDEX('State measures'!$C$10:$D$10,MATCH(B61,'State measures'!$C$4:$D$4,0))</f>
        <v>3.2959847221723066</v>
      </c>
      <c r="Y61" s="12">
        <f>I61-INDEX('State measures'!$C$11:$D$11,MATCH(B61,'State measures'!$C$4:$D$4,0))</f>
        <v>-9.5837125936247269E-3</v>
      </c>
      <c r="Z61" s="12">
        <f>R61-INDEX('State measures'!$C$20:$D$20,MATCH(B61,'State measures'!$C$4:$D$4,0))</f>
        <v>-3.6576340147050856E-2</v>
      </c>
    </row>
    <row r="62" spans="1:26" x14ac:dyDescent="0.3">
      <c r="A62" s="2" t="s">
        <v>117</v>
      </c>
      <c r="B62" s="2" t="s">
        <v>35</v>
      </c>
      <c r="C62" s="10">
        <v>2249</v>
      </c>
      <c r="D62" s="10">
        <v>405801</v>
      </c>
      <c r="E62" s="10">
        <v>22300</v>
      </c>
      <c r="F62" s="13">
        <v>18.197354260089689</v>
      </c>
      <c r="G62" s="15">
        <v>3.0235660293463761E-2</v>
      </c>
      <c r="H62" s="13">
        <v>82.797243219208539</v>
      </c>
      <c r="I62" s="15">
        <v>0.4667534086904665</v>
      </c>
      <c r="J62" s="15">
        <v>-2.1797695449212621E-2</v>
      </c>
      <c r="K62" s="15">
        <v>0.95909293019119612</v>
      </c>
      <c r="L62" s="15">
        <v>0.99333036905291239</v>
      </c>
      <c r="M62" s="15">
        <v>0.88706091596265002</v>
      </c>
      <c r="N62" s="10">
        <v>18347</v>
      </c>
      <c r="O62" s="10">
        <v>1486</v>
      </c>
      <c r="P62" s="10">
        <v>4973</v>
      </c>
      <c r="Q62" s="16">
        <v>-3487</v>
      </c>
      <c r="R62" s="15">
        <v>8.0994167983866577E-2</v>
      </c>
      <c r="S62" s="10">
        <v>505</v>
      </c>
      <c r="T62" s="10">
        <v>4139</v>
      </c>
      <c r="U62" s="10">
        <v>5759</v>
      </c>
      <c r="V62" s="14">
        <f>F62-INDEX('State measures'!$C$8:$D$8,MATCH(B62,'State measures'!$C$4:$D$4,0))</f>
        <v>-0.67220552611237139</v>
      </c>
      <c r="W62" s="12">
        <f>G62-INDEX('State measures'!$C$9:$D$9,MATCH(B62,'State measures'!$C$4:$D$4,0))</f>
        <v>-3.7007456682621079E-2</v>
      </c>
      <c r="X62" s="14">
        <f>H62-INDEX('State measures'!$C$10:$D$10,MATCH(B62,'State measures'!$C$4:$D$4,0))</f>
        <v>3.0335859622454535</v>
      </c>
      <c r="Y62" s="12">
        <f>I62-INDEX('State measures'!$C$11:$D$11,MATCH(B62,'State measures'!$C$4:$D$4,0))</f>
        <v>-7.7421956324635888E-3</v>
      </c>
      <c r="Z62" s="12">
        <f>R62-INDEX('State measures'!$C$20:$D$20,MATCH(B62,'State measures'!$C$4:$D$4,0))</f>
        <v>-2.9675974901149621E-2</v>
      </c>
    </row>
    <row r="63" spans="1:26" x14ac:dyDescent="0.3">
      <c r="A63" s="2" t="s">
        <v>118</v>
      </c>
      <c r="B63" s="2" t="s">
        <v>16</v>
      </c>
      <c r="C63" s="10">
        <v>1611</v>
      </c>
      <c r="D63" s="10">
        <v>248639</v>
      </c>
      <c r="E63" s="10">
        <v>14678</v>
      </c>
      <c r="F63" s="13">
        <v>16.939569423627201</v>
      </c>
      <c r="G63" s="15">
        <v>1.4897579143389199E-2</v>
      </c>
      <c r="H63" s="13">
        <v>85.808504034761015</v>
      </c>
      <c r="I63" s="15">
        <v>0.46578774850284949</v>
      </c>
      <c r="J63" s="15">
        <v>2.0228119318363991E-2</v>
      </c>
      <c r="K63" s="15">
        <v>0.94785847299813786</v>
      </c>
      <c r="L63" s="15">
        <v>0.98386095592799505</v>
      </c>
      <c r="M63" s="15">
        <v>0.91930477963997514</v>
      </c>
      <c r="N63" s="10">
        <v>12392</v>
      </c>
      <c r="O63" s="10">
        <v>1297</v>
      </c>
      <c r="P63" s="10">
        <v>3450</v>
      </c>
      <c r="Q63" s="16">
        <v>-2153</v>
      </c>
      <c r="R63" s="15">
        <v>0.1046642995480955</v>
      </c>
      <c r="S63" s="10">
        <v>332</v>
      </c>
      <c r="T63" s="10">
        <v>1694</v>
      </c>
      <c r="U63" s="10">
        <v>2353</v>
      </c>
      <c r="V63" s="14">
        <f>F63-INDEX('State measures'!$C$8:$D$8,MATCH(B63,'State measures'!$C$4:$D$4,0))</f>
        <v>-2.4391486319809879</v>
      </c>
      <c r="W63" s="12">
        <f>G63-INDEX('State measures'!$C$9:$D$9,MATCH(B63,'State measures'!$C$4:$D$4,0))</f>
        <v>-4.1881034277010336E-2</v>
      </c>
      <c r="X63" s="14">
        <f>H63-INDEX('State measures'!$C$10:$D$10,MATCH(B63,'State measures'!$C$4:$D$4,0))</f>
        <v>6.441589820763113</v>
      </c>
      <c r="Y63" s="12">
        <f>I63-INDEX('State measures'!$C$11:$D$11,MATCH(B63,'State measures'!$C$4:$D$4,0))</f>
        <v>-6.8588020698316376E-3</v>
      </c>
      <c r="Z63" s="12">
        <f>R63-INDEX('State measures'!$C$20:$D$20,MATCH(B63,'State measures'!$C$4:$D$4,0))</f>
        <v>-5.4422433852498037E-3</v>
      </c>
    </row>
    <row r="64" spans="1:26" x14ac:dyDescent="0.3">
      <c r="A64" s="2" t="s">
        <v>118</v>
      </c>
      <c r="B64" s="2" t="s">
        <v>35</v>
      </c>
      <c r="C64" s="10">
        <v>1802</v>
      </c>
      <c r="D64" s="10">
        <v>262126</v>
      </c>
      <c r="E64" s="10">
        <v>16471</v>
      </c>
      <c r="F64" s="13">
        <v>15.91439499726792</v>
      </c>
      <c r="G64" s="15">
        <v>1.8312985571587129E-2</v>
      </c>
      <c r="H64" s="13">
        <v>86.092841287458384</v>
      </c>
      <c r="I64" s="15">
        <v>0.46985800721790277</v>
      </c>
      <c r="J64" s="15">
        <v>1.698926016914792E-2</v>
      </c>
      <c r="K64" s="15">
        <v>0.95116537180910099</v>
      </c>
      <c r="L64" s="15">
        <v>0.97891231964483905</v>
      </c>
      <c r="M64" s="15">
        <v>0.92508324084350724</v>
      </c>
      <c r="N64" s="10">
        <v>13523</v>
      </c>
      <c r="O64" s="10">
        <v>1315</v>
      </c>
      <c r="P64" s="10">
        <v>4116</v>
      </c>
      <c r="Q64" s="16">
        <v>-2801</v>
      </c>
      <c r="R64" s="15">
        <v>9.7241736301116613E-2</v>
      </c>
      <c r="S64" s="10">
        <v>360</v>
      </c>
      <c r="T64" s="10">
        <v>1939</v>
      </c>
      <c r="U64" s="10">
        <v>2899</v>
      </c>
      <c r="V64" s="14">
        <f>F64-INDEX('State measures'!$C$8:$D$8,MATCH(B64,'State measures'!$C$4:$D$4,0))</f>
        <v>-2.955164788934141</v>
      </c>
      <c r="W64" s="12">
        <f>G64-INDEX('State measures'!$C$9:$D$9,MATCH(B64,'State measures'!$C$4:$D$4,0))</f>
        <v>-4.8930131404497715E-2</v>
      </c>
      <c r="X64" s="14">
        <f>H64-INDEX('State measures'!$C$10:$D$10,MATCH(B64,'State measures'!$C$4:$D$4,0))</f>
        <v>6.3291840304952984</v>
      </c>
      <c r="Y64" s="12">
        <f>I64-INDEX('State measures'!$C$11:$D$11,MATCH(B64,'State measures'!$C$4:$D$4,0))</f>
        <v>-4.6375971050273135E-3</v>
      </c>
      <c r="Z64" s="12">
        <f>R64-INDEX('State measures'!$C$20:$D$20,MATCH(B64,'State measures'!$C$4:$D$4,0))</f>
        <v>-1.3428406583899585E-2</v>
      </c>
    </row>
    <row r="65" spans="1:26" x14ac:dyDescent="0.3">
      <c r="A65" s="2" t="s">
        <v>119</v>
      </c>
      <c r="B65" s="2" t="s">
        <v>16</v>
      </c>
      <c r="C65" s="10">
        <v>2547</v>
      </c>
      <c r="D65" s="10">
        <v>370388</v>
      </c>
      <c r="E65" s="10">
        <v>18520</v>
      </c>
      <c r="F65" s="13">
        <v>19.999352051835849</v>
      </c>
      <c r="G65" s="15">
        <v>3.3765213977228113E-2</v>
      </c>
      <c r="H65" s="13">
        <v>83.284255987436197</v>
      </c>
      <c r="I65" s="15">
        <v>0.47739397604674022</v>
      </c>
      <c r="J65" s="15">
        <v>-1.38045046483698E-3</v>
      </c>
      <c r="K65" s="15">
        <v>0.95524146054181391</v>
      </c>
      <c r="L65" s="15">
        <v>0.99607381232822934</v>
      </c>
      <c r="M65" s="15">
        <v>0.9089124460149195</v>
      </c>
      <c r="N65" s="10">
        <v>17418</v>
      </c>
      <c r="O65" s="10">
        <v>2162</v>
      </c>
      <c r="P65" s="10">
        <v>3203</v>
      </c>
      <c r="Q65" s="16">
        <v>-1041</v>
      </c>
      <c r="R65" s="15">
        <v>0.1241244689401768</v>
      </c>
      <c r="S65" s="10">
        <v>624</v>
      </c>
      <c r="T65" s="10">
        <v>2455</v>
      </c>
      <c r="U65" s="10">
        <v>3493</v>
      </c>
      <c r="V65" s="14">
        <f>F65-INDEX('State measures'!$C$8:$D$8,MATCH(B65,'State measures'!$C$4:$D$4,0))</f>
        <v>0.62063399622766013</v>
      </c>
      <c r="W65" s="12">
        <f>G65-INDEX('State measures'!$C$9:$D$9,MATCH(B65,'State measures'!$C$4:$D$4,0))</f>
        <v>-2.301339944317142E-2</v>
      </c>
      <c r="X65" s="14">
        <f>H65-INDEX('State measures'!$C$10:$D$10,MATCH(B65,'State measures'!$C$4:$D$4,0))</f>
        <v>3.9173417734382951</v>
      </c>
      <c r="Y65" s="12">
        <f>I65-INDEX('State measures'!$C$11:$D$11,MATCH(B65,'State measures'!$C$4:$D$4,0))</f>
        <v>4.7474254740590971E-3</v>
      </c>
      <c r="Z65" s="12">
        <f>R65-INDEX('State measures'!$C$20:$D$20,MATCH(B65,'State measures'!$C$4:$D$4,0))</f>
        <v>1.4017926006831494E-2</v>
      </c>
    </row>
    <row r="66" spans="1:26" x14ac:dyDescent="0.3">
      <c r="A66" s="2" t="s">
        <v>119</v>
      </c>
      <c r="B66" s="2" t="s">
        <v>35</v>
      </c>
      <c r="C66" s="10">
        <v>2547</v>
      </c>
      <c r="D66" s="10">
        <v>362372</v>
      </c>
      <c r="E66" s="10">
        <v>18695</v>
      </c>
      <c r="F66" s="13">
        <v>19.383364535972181</v>
      </c>
      <c r="G66" s="15">
        <v>4.9077345897133882E-2</v>
      </c>
      <c r="H66" s="13">
        <v>83.914566156262282</v>
      </c>
      <c r="I66" s="15">
        <v>0.47829026525228219</v>
      </c>
      <c r="J66" s="15">
        <v>9.8189635370588002E-4</v>
      </c>
      <c r="K66" s="15">
        <v>0.9548488417746368</v>
      </c>
      <c r="L66" s="15">
        <v>0.99175500588928156</v>
      </c>
      <c r="M66" s="15">
        <v>0.91166077738515905</v>
      </c>
      <c r="N66" s="10">
        <v>17304</v>
      </c>
      <c r="O66" s="10">
        <v>2035</v>
      </c>
      <c r="P66" s="10">
        <v>3356</v>
      </c>
      <c r="Q66" s="16">
        <v>-1321</v>
      </c>
      <c r="R66" s="15">
        <v>0.1176028663892742</v>
      </c>
      <c r="S66" s="10">
        <v>655</v>
      </c>
      <c r="T66" s="10">
        <v>2391</v>
      </c>
      <c r="U66" s="10">
        <v>3639</v>
      </c>
      <c r="V66" s="14">
        <f>F66-INDEX('State measures'!$C$8:$D$8,MATCH(B66,'State measures'!$C$4:$D$4,0))</f>
        <v>0.51380474977012014</v>
      </c>
      <c r="W66" s="12">
        <f>G66-INDEX('State measures'!$C$9:$D$9,MATCH(B66,'State measures'!$C$4:$D$4,0))</f>
        <v>-1.8165771078950961E-2</v>
      </c>
      <c r="X66" s="14">
        <f>H66-INDEX('State measures'!$C$10:$D$10,MATCH(B66,'State measures'!$C$4:$D$4,0))</f>
        <v>4.1509088992991963</v>
      </c>
      <c r="Y66" s="12">
        <f>I66-INDEX('State measures'!$C$11:$D$11,MATCH(B66,'State measures'!$C$4:$D$4,0))</f>
        <v>3.7946609293521005E-3</v>
      </c>
      <c r="Z66" s="12">
        <f>R66-INDEX('State measures'!$C$20:$D$20,MATCH(B66,'State measures'!$C$4:$D$4,0))</f>
        <v>6.9327235042579982E-3</v>
      </c>
    </row>
    <row r="67" spans="1:26" x14ac:dyDescent="0.3">
      <c r="A67" s="2" t="s">
        <v>120</v>
      </c>
      <c r="B67" s="2" t="s">
        <v>16</v>
      </c>
      <c r="C67" s="10">
        <v>2175</v>
      </c>
      <c r="D67" s="10">
        <v>317024</v>
      </c>
      <c r="E67" s="10">
        <v>17443</v>
      </c>
      <c r="F67" s="13">
        <v>18.174855242790809</v>
      </c>
      <c r="G67" s="15">
        <v>5.2873563218390797E-2</v>
      </c>
      <c r="H67" s="13">
        <v>84.183908045977006</v>
      </c>
      <c r="I67" s="15">
        <v>0.47795119612395282</v>
      </c>
      <c r="J67" s="15">
        <v>-6.2171557510354303E-4</v>
      </c>
      <c r="K67" s="15">
        <v>0.9535632183908046</v>
      </c>
      <c r="L67" s="15">
        <v>0.99724137931034484</v>
      </c>
      <c r="M67" s="15">
        <v>0.86482758620689659</v>
      </c>
      <c r="N67" s="10">
        <v>15020</v>
      </c>
      <c r="O67" s="10">
        <v>1344</v>
      </c>
      <c r="P67" s="10">
        <v>3595</v>
      </c>
      <c r="Q67" s="16">
        <v>-2251</v>
      </c>
      <c r="R67" s="15">
        <v>8.9480692410119841E-2</v>
      </c>
      <c r="S67" s="10">
        <v>541</v>
      </c>
      <c r="T67" s="10">
        <v>2504</v>
      </c>
      <c r="U67" s="10">
        <v>3384</v>
      </c>
      <c r="V67" s="14">
        <f>F67-INDEX('State measures'!$C$8:$D$8,MATCH(B67,'State measures'!$C$4:$D$4,0))</f>
        <v>-1.2038628128173805</v>
      </c>
      <c r="W67" s="12">
        <f>G67-INDEX('State measures'!$C$9:$D$9,MATCH(B67,'State measures'!$C$4:$D$4,0))</f>
        <v>-3.9050502020087363E-3</v>
      </c>
      <c r="X67" s="14">
        <f>H67-INDEX('State measures'!$C$10:$D$10,MATCH(B67,'State measures'!$C$4:$D$4,0))</f>
        <v>4.8169938319791044</v>
      </c>
      <c r="Y67" s="12">
        <f>I67-INDEX('State measures'!$C$11:$D$11,MATCH(B67,'State measures'!$C$4:$D$4,0))</f>
        <v>5.3046455512716917E-3</v>
      </c>
      <c r="Z67" s="12">
        <f>R67-INDEX('State measures'!$C$20:$D$20,MATCH(B67,'State measures'!$C$4:$D$4,0))</f>
        <v>-2.0625850523225464E-2</v>
      </c>
    </row>
    <row r="68" spans="1:26" x14ac:dyDescent="0.3">
      <c r="A68" s="2" t="s">
        <v>120</v>
      </c>
      <c r="B68" s="2" t="s">
        <v>35</v>
      </c>
      <c r="C68" s="10">
        <v>2163</v>
      </c>
      <c r="D68" s="10">
        <v>310637</v>
      </c>
      <c r="E68" s="10">
        <v>16997</v>
      </c>
      <c r="F68" s="13">
        <v>18.27598988056716</v>
      </c>
      <c r="G68" s="15">
        <v>6.5649560795191866E-2</v>
      </c>
      <c r="H68" s="13">
        <v>84.765048543689332</v>
      </c>
      <c r="I68" s="15">
        <v>0.47938268783177801</v>
      </c>
      <c r="J68" s="15">
        <v>5.2328804540789364E-3</v>
      </c>
      <c r="K68" s="15">
        <v>0.95423023578363386</v>
      </c>
      <c r="L68" s="15">
        <v>0.99768839574664814</v>
      </c>
      <c r="M68" s="15">
        <v>0.87193712436430881</v>
      </c>
      <c r="N68" s="10">
        <v>14976</v>
      </c>
      <c r="O68" s="10">
        <v>1456</v>
      </c>
      <c r="P68" s="10">
        <v>3282</v>
      </c>
      <c r="Q68" s="16">
        <v>-1826</v>
      </c>
      <c r="R68" s="15">
        <v>9.7222222222222224E-2</v>
      </c>
      <c r="S68" s="10">
        <v>602</v>
      </c>
      <c r="T68" s="10">
        <v>2158</v>
      </c>
      <c r="U68" s="10">
        <v>3251</v>
      </c>
      <c r="V68" s="14">
        <f>F68-INDEX('State measures'!$C$8:$D$8,MATCH(B68,'State measures'!$C$4:$D$4,0))</f>
        <v>-0.59356990563490086</v>
      </c>
      <c r="W68" s="12">
        <f>G68-INDEX('State measures'!$C$9:$D$9,MATCH(B68,'State measures'!$C$4:$D$4,0))</f>
        <v>-1.5935561808929771E-3</v>
      </c>
      <c r="X68" s="14">
        <f>H68-INDEX('State measures'!$C$10:$D$10,MATCH(B68,'State measures'!$C$4:$D$4,0))</f>
        <v>5.0013912867262462</v>
      </c>
      <c r="Y68" s="12">
        <f>I68-INDEX('State measures'!$C$11:$D$11,MATCH(B68,'State measures'!$C$4:$D$4,0))</f>
        <v>4.8870835088479225E-3</v>
      </c>
      <c r="Z68" s="12">
        <f>R68-INDEX('State measures'!$C$20:$D$20,MATCH(B68,'State measures'!$C$4:$D$4,0))</f>
        <v>-1.3447920662793975E-2</v>
      </c>
    </row>
    <row r="69" spans="1:26" x14ac:dyDescent="0.3">
      <c r="A69" s="2" t="s">
        <v>121</v>
      </c>
      <c r="B69" s="2" t="s">
        <v>16</v>
      </c>
      <c r="C69" s="10">
        <v>1621</v>
      </c>
      <c r="D69" s="10">
        <v>208217</v>
      </c>
      <c r="E69" s="10">
        <v>9249</v>
      </c>
      <c r="F69" s="13">
        <v>22.51237971672613</v>
      </c>
      <c r="G69" s="15">
        <v>6.2924120913016662E-2</v>
      </c>
      <c r="H69" s="13">
        <v>74.267427513880321</v>
      </c>
      <c r="I69" s="15">
        <v>0.46685909411815563</v>
      </c>
      <c r="J69" s="15">
        <v>-2.1533011440446729E-2</v>
      </c>
      <c r="K69" s="15">
        <v>0.7180752621838371</v>
      </c>
      <c r="L69" s="15">
        <v>0.98149290561381863</v>
      </c>
      <c r="M69" s="15">
        <v>0.83837137569401599</v>
      </c>
      <c r="N69" s="10">
        <v>9596</v>
      </c>
      <c r="O69" s="10">
        <v>1386</v>
      </c>
      <c r="P69" s="10">
        <v>997</v>
      </c>
      <c r="Q69" s="16">
        <v>389</v>
      </c>
      <c r="R69" s="15">
        <v>0.1444351813255523</v>
      </c>
      <c r="S69" s="10">
        <v>490</v>
      </c>
      <c r="T69" s="10">
        <v>1560</v>
      </c>
      <c r="U69" s="10">
        <v>2303</v>
      </c>
      <c r="V69" s="14">
        <f>F69-INDEX('State measures'!$C$8:$D$8,MATCH(B69,'State measures'!$C$4:$D$4,0))</f>
        <v>3.1336616611179409</v>
      </c>
      <c r="W69" s="12">
        <f>G69-INDEX('State measures'!$C$9:$D$9,MATCH(B69,'State measures'!$C$4:$D$4,0))</f>
        <v>6.1455074926171291E-3</v>
      </c>
      <c r="X69" s="14">
        <f>H69-INDEX('State measures'!$C$10:$D$10,MATCH(B69,'State measures'!$C$4:$D$4,0))</f>
        <v>-5.0994867001175805</v>
      </c>
      <c r="Y69" s="12">
        <f>I69-INDEX('State measures'!$C$11:$D$11,MATCH(B69,'State measures'!$C$4:$D$4,0))</f>
        <v>-5.787456454525497E-3</v>
      </c>
      <c r="Z69" s="12">
        <f>R69-INDEX('State measures'!$C$20:$D$20,MATCH(B69,'State measures'!$C$4:$D$4,0))</f>
        <v>3.4328638392206998E-2</v>
      </c>
    </row>
    <row r="70" spans="1:26" x14ac:dyDescent="0.3">
      <c r="A70" s="2" t="s">
        <v>121</v>
      </c>
      <c r="B70" s="2" t="s">
        <v>35</v>
      </c>
      <c r="C70" s="10">
        <v>1627</v>
      </c>
      <c r="D70" s="10">
        <v>203771</v>
      </c>
      <c r="E70" s="10">
        <v>9175</v>
      </c>
      <c r="F70" s="13">
        <v>22.20937329700272</v>
      </c>
      <c r="G70" s="15">
        <v>0.10571604179471419</v>
      </c>
      <c r="H70" s="13">
        <v>75.172894898586364</v>
      </c>
      <c r="I70" s="15">
        <v>0.46930132354456722</v>
      </c>
      <c r="J70" s="15">
        <v>-1.219452036821572E-2</v>
      </c>
      <c r="K70" s="15">
        <v>0.72956361401352177</v>
      </c>
      <c r="L70" s="15">
        <v>0.97664413030116781</v>
      </c>
      <c r="M70" s="15">
        <v>0.84265519360786723</v>
      </c>
      <c r="N70" s="10">
        <v>9585</v>
      </c>
      <c r="O70" s="10">
        <v>1434</v>
      </c>
      <c r="P70" s="10">
        <v>973</v>
      </c>
      <c r="Q70" s="16">
        <v>461</v>
      </c>
      <c r="R70" s="15">
        <v>0.1496087636932707</v>
      </c>
      <c r="S70" s="10">
        <v>564</v>
      </c>
      <c r="T70" s="10">
        <v>1390</v>
      </c>
      <c r="U70" s="10">
        <v>2309</v>
      </c>
      <c r="V70" s="14">
        <f>F70-INDEX('State measures'!$C$8:$D$8,MATCH(B70,'State measures'!$C$4:$D$4,0))</f>
        <v>3.3398135108006599</v>
      </c>
      <c r="W70" s="12">
        <f>G70-INDEX('State measures'!$C$9:$D$9,MATCH(B70,'State measures'!$C$4:$D$4,0))</f>
        <v>3.847292481862935E-2</v>
      </c>
      <c r="X70" s="14">
        <f>H70-INDEX('State measures'!$C$10:$D$10,MATCH(B70,'State measures'!$C$4:$D$4,0))</f>
        <v>-4.5907623583767219</v>
      </c>
      <c r="Y70" s="12">
        <f>I70-INDEX('State measures'!$C$11:$D$11,MATCH(B70,'State measures'!$C$4:$D$4,0))</f>
        <v>-5.1942807783628697E-3</v>
      </c>
      <c r="Z70" s="12">
        <f>R70-INDEX('State measures'!$C$20:$D$20,MATCH(B70,'State measures'!$C$4:$D$4,0))</f>
        <v>3.8938620808254498E-2</v>
      </c>
    </row>
    <row r="71" spans="1:26" x14ac:dyDescent="0.3">
      <c r="A71" s="2" t="s">
        <v>122</v>
      </c>
      <c r="B71" s="2" t="s">
        <v>16</v>
      </c>
      <c r="C71" s="10">
        <v>1981</v>
      </c>
      <c r="D71" s="10">
        <v>206494</v>
      </c>
      <c r="E71" s="10">
        <v>9383</v>
      </c>
      <c r="F71" s="13">
        <v>22.007247149099431</v>
      </c>
      <c r="G71" s="15">
        <v>0.19787985865724381</v>
      </c>
      <c r="H71" s="13">
        <v>68.292529025744571</v>
      </c>
      <c r="I71" s="15">
        <v>0.48933625190078162</v>
      </c>
      <c r="J71" s="15">
        <v>2.3343514472294939E-2</v>
      </c>
      <c r="K71" s="15">
        <v>0.73346794548207972</v>
      </c>
      <c r="L71" s="15">
        <v>0.97778899545683995</v>
      </c>
      <c r="M71" s="15">
        <v>0.77132761231701163</v>
      </c>
      <c r="N71" s="10">
        <v>9494</v>
      </c>
      <c r="O71" s="10">
        <v>1493</v>
      </c>
      <c r="P71" s="10">
        <v>1311</v>
      </c>
      <c r="Q71" s="16">
        <v>182</v>
      </c>
      <c r="R71" s="15">
        <v>0.15725721508321039</v>
      </c>
      <c r="S71" s="10">
        <v>689</v>
      </c>
      <c r="T71" s="10">
        <v>1489</v>
      </c>
      <c r="U71" s="10">
        <v>2321</v>
      </c>
      <c r="V71" s="14">
        <f>F71-INDEX('State measures'!$C$8:$D$8,MATCH(B71,'State measures'!$C$4:$D$4,0))</f>
        <v>2.6285290934912418</v>
      </c>
      <c r="W71" s="12">
        <f>G71-INDEX('State measures'!$C$9:$D$9,MATCH(B71,'State measures'!$C$4:$D$4,0))</f>
        <v>0.14110124523684428</v>
      </c>
      <c r="X71" s="14">
        <f>H71-INDEX('State measures'!$C$10:$D$10,MATCH(B71,'State measures'!$C$4:$D$4,0))</f>
        <v>-11.074385188253331</v>
      </c>
      <c r="Y71" s="12">
        <f>I71-INDEX('State measures'!$C$11:$D$11,MATCH(B71,'State measures'!$C$4:$D$4,0))</f>
        <v>1.6689701328100492E-2</v>
      </c>
      <c r="Z71" s="12">
        <f>R71-INDEX('State measures'!$C$20:$D$20,MATCH(B71,'State measures'!$C$4:$D$4,0))</f>
        <v>4.7150672149865083E-2</v>
      </c>
    </row>
    <row r="72" spans="1:26" x14ac:dyDescent="0.3">
      <c r="A72" s="2" t="s">
        <v>122</v>
      </c>
      <c r="B72" s="2" t="s">
        <v>35</v>
      </c>
      <c r="C72" s="10">
        <v>1969</v>
      </c>
      <c r="D72" s="10">
        <v>202325</v>
      </c>
      <c r="E72" s="10">
        <v>9356</v>
      </c>
      <c r="F72" s="13">
        <v>21.625160324925179</v>
      </c>
      <c r="G72" s="15">
        <v>0.19908583037074659</v>
      </c>
      <c r="H72" s="13">
        <v>68.012493651599812</v>
      </c>
      <c r="I72" s="15">
        <v>0.48974669467441001</v>
      </c>
      <c r="J72" s="15">
        <v>2.9463561713447831E-2</v>
      </c>
      <c r="K72" s="15">
        <v>0.74352463179278827</v>
      </c>
      <c r="L72" s="15">
        <v>0.9705434230573895</v>
      </c>
      <c r="M72" s="15">
        <v>0.75368207211782634</v>
      </c>
      <c r="N72" s="10">
        <v>9484</v>
      </c>
      <c r="O72" s="10">
        <v>1483</v>
      </c>
      <c r="P72" s="10">
        <v>1279</v>
      </c>
      <c r="Q72" s="16">
        <v>204</v>
      </c>
      <c r="R72" s="15">
        <v>0.1563686208350907</v>
      </c>
      <c r="S72" s="10">
        <v>692</v>
      </c>
      <c r="T72" s="10">
        <v>1418</v>
      </c>
      <c r="U72" s="10">
        <v>2606</v>
      </c>
      <c r="V72" s="14">
        <f>F72-INDEX('State measures'!$C$8:$D$8,MATCH(B72,'State measures'!$C$4:$D$4,0))</f>
        <v>2.7556005387231188</v>
      </c>
      <c r="W72" s="12">
        <f>G72-INDEX('State measures'!$C$9:$D$9,MATCH(B72,'State measures'!$C$4:$D$4,0))</f>
        <v>0.13184271339466175</v>
      </c>
      <c r="X72" s="14">
        <f>H72-INDEX('State measures'!$C$10:$D$10,MATCH(B72,'State measures'!$C$4:$D$4,0))</f>
        <v>-11.751163605363274</v>
      </c>
      <c r="Y72" s="12">
        <f>I72-INDEX('State measures'!$C$11:$D$11,MATCH(B72,'State measures'!$C$4:$D$4,0))</f>
        <v>1.5251090351479923E-2</v>
      </c>
      <c r="Z72" s="12">
        <f>R72-INDEX('State measures'!$C$20:$D$20,MATCH(B72,'State measures'!$C$4:$D$4,0))</f>
        <v>4.5698477950074506E-2</v>
      </c>
    </row>
    <row r="73" spans="1:26" x14ac:dyDescent="0.3">
      <c r="A73" s="2" t="s">
        <v>123</v>
      </c>
      <c r="B73" s="2" t="s">
        <v>16</v>
      </c>
      <c r="C73" s="10">
        <v>2174</v>
      </c>
      <c r="D73" s="10">
        <v>235697</v>
      </c>
      <c r="E73" s="10">
        <v>13796</v>
      </c>
      <c r="F73" s="13">
        <v>17.08444476659901</v>
      </c>
      <c r="G73" s="15">
        <v>5.5197792088316468E-2</v>
      </c>
      <c r="H73" s="13">
        <v>81.617985280588783</v>
      </c>
      <c r="I73" s="15">
        <v>0.48527982961174732</v>
      </c>
      <c r="J73" s="15">
        <v>2.5201793976487918E-2</v>
      </c>
      <c r="K73" s="15">
        <v>0.96734130634774607</v>
      </c>
      <c r="L73" s="15">
        <v>0.99356025758969646</v>
      </c>
      <c r="M73" s="15">
        <v>0.90294388224471023</v>
      </c>
      <c r="N73" s="10">
        <v>11803</v>
      </c>
      <c r="O73" s="10">
        <v>772</v>
      </c>
      <c r="P73" s="10">
        <v>2601</v>
      </c>
      <c r="Q73" s="16">
        <v>-1829</v>
      </c>
      <c r="R73" s="15">
        <v>6.5407099889858517E-2</v>
      </c>
      <c r="S73" s="10">
        <v>400</v>
      </c>
      <c r="T73" s="10">
        <v>2176</v>
      </c>
      <c r="U73" s="10">
        <v>3078</v>
      </c>
      <c r="V73" s="14">
        <f>F73-INDEX('State measures'!$C$8:$D$8,MATCH(B73,'State measures'!$C$4:$D$4,0))</f>
        <v>-2.2942732890091797</v>
      </c>
      <c r="W73" s="12">
        <f>G73-INDEX('State measures'!$C$9:$D$9,MATCH(B73,'State measures'!$C$4:$D$4,0))</f>
        <v>-1.5808213320830655E-3</v>
      </c>
      <c r="X73" s="14">
        <f>H73-INDEX('State measures'!$C$10:$D$10,MATCH(B73,'State measures'!$C$4:$D$4,0))</f>
        <v>2.2510710665908817</v>
      </c>
      <c r="Y73" s="12">
        <f>I73-INDEX('State measures'!$C$11:$D$11,MATCH(B73,'State measures'!$C$4:$D$4,0))</f>
        <v>1.2633279039066192E-2</v>
      </c>
      <c r="Z73" s="12">
        <f>R73-INDEX('State measures'!$C$20:$D$20,MATCH(B73,'State measures'!$C$4:$D$4,0))</f>
        <v>-4.4699443043486789E-2</v>
      </c>
    </row>
    <row r="74" spans="1:26" x14ac:dyDescent="0.3">
      <c r="A74" s="2" t="s">
        <v>123</v>
      </c>
      <c r="B74" s="2" t="s">
        <v>35</v>
      </c>
      <c r="C74" s="10">
        <v>2170</v>
      </c>
      <c r="D74" s="10">
        <v>231668</v>
      </c>
      <c r="E74" s="10">
        <v>13400</v>
      </c>
      <c r="F74" s="13">
        <v>17.288656716417911</v>
      </c>
      <c r="G74" s="15">
        <v>8.7096774193548387E-2</v>
      </c>
      <c r="H74" s="13">
        <v>81.791705069124419</v>
      </c>
      <c r="I74" s="15">
        <v>0.48623461159935771</v>
      </c>
      <c r="J74" s="15">
        <v>2.7319032211090059E-2</v>
      </c>
      <c r="K74" s="15">
        <v>0.96175115207373274</v>
      </c>
      <c r="L74" s="15">
        <v>0.99262672811059904</v>
      </c>
      <c r="M74" s="15">
        <v>0.90368663594470044</v>
      </c>
      <c r="N74" s="10">
        <v>11798</v>
      </c>
      <c r="O74" s="10">
        <v>986</v>
      </c>
      <c r="P74" s="10">
        <v>2431</v>
      </c>
      <c r="Q74" s="16">
        <v>-1445</v>
      </c>
      <c r="R74" s="15">
        <v>8.3573487031700283E-2</v>
      </c>
      <c r="S74" s="10">
        <v>528</v>
      </c>
      <c r="T74" s="10">
        <v>1947</v>
      </c>
      <c r="U74" s="10">
        <v>3010</v>
      </c>
      <c r="V74" s="14">
        <f>F74-INDEX('State measures'!$C$8:$D$8,MATCH(B74,'State measures'!$C$4:$D$4,0))</f>
        <v>-1.5809030697841493</v>
      </c>
      <c r="W74" s="12">
        <f>G74-INDEX('State measures'!$C$9:$D$9,MATCH(B74,'State measures'!$C$4:$D$4,0))</f>
        <v>1.9853657217463544E-2</v>
      </c>
      <c r="X74" s="14">
        <f>H74-INDEX('State measures'!$C$10:$D$10,MATCH(B74,'State measures'!$C$4:$D$4,0))</f>
        <v>2.0280478121613328</v>
      </c>
      <c r="Y74" s="12">
        <f>I74-INDEX('State measures'!$C$11:$D$11,MATCH(B74,'State measures'!$C$4:$D$4,0))</f>
        <v>1.1739007276427627E-2</v>
      </c>
      <c r="Z74" s="12">
        <f>R74-INDEX('State measures'!$C$20:$D$20,MATCH(B74,'State measures'!$C$4:$D$4,0))</f>
        <v>-2.7096655853315915E-2</v>
      </c>
    </row>
    <row r="75" spans="1:26" x14ac:dyDescent="0.3">
      <c r="A75" s="2" t="s">
        <v>124</v>
      </c>
      <c r="B75" s="2" t="s">
        <v>16</v>
      </c>
      <c r="C75" s="10">
        <v>1300</v>
      </c>
      <c r="D75" s="10">
        <v>139780</v>
      </c>
      <c r="E75" s="10">
        <v>6051</v>
      </c>
      <c r="F75" s="13">
        <v>23.100313997686332</v>
      </c>
      <c r="G75" s="15">
        <v>0.1546153846153846</v>
      </c>
      <c r="H75" s="13">
        <v>66.70192307692308</v>
      </c>
      <c r="I75" s="15">
        <v>0.48934039204464158</v>
      </c>
      <c r="J75" s="15">
        <v>2.179736582120495E-2</v>
      </c>
      <c r="K75" s="15">
        <v>0.7976923076923077</v>
      </c>
      <c r="L75" s="15">
        <v>0.96307692307692305</v>
      </c>
      <c r="M75" s="15">
        <v>0.76076923076923075</v>
      </c>
      <c r="N75" s="10">
        <v>6358</v>
      </c>
      <c r="O75" s="10">
        <v>1016</v>
      </c>
      <c r="P75" s="10">
        <v>650</v>
      </c>
      <c r="Q75" s="16">
        <v>366</v>
      </c>
      <c r="R75" s="15">
        <v>0.15979867882982071</v>
      </c>
      <c r="S75" s="10">
        <v>436</v>
      </c>
      <c r="T75" s="10">
        <v>1053</v>
      </c>
      <c r="U75" s="10">
        <v>1740</v>
      </c>
      <c r="V75" s="14">
        <f>F75-INDEX('State measures'!$C$8:$D$8,MATCH(B75,'State measures'!$C$4:$D$4,0))</f>
        <v>3.7215959420781424</v>
      </c>
      <c r="W75" s="12">
        <f>G75-INDEX('State measures'!$C$9:$D$9,MATCH(B75,'State measures'!$C$4:$D$4,0))</f>
        <v>9.7836771194985073E-2</v>
      </c>
      <c r="X75" s="14">
        <f>H75-INDEX('State measures'!$C$10:$D$10,MATCH(B75,'State measures'!$C$4:$D$4,0))</f>
        <v>-12.664991137074821</v>
      </c>
      <c r="Y75" s="12">
        <f>I75-INDEX('State measures'!$C$11:$D$11,MATCH(B75,'State measures'!$C$4:$D$4,0))</f>
        <v>1.6693841471960458E-2</v>
      </c>
      <c r="Z75" s="12">
        <f>R75-INDEX('State measures'!$C$20:$D$20,MATCH(B75,'State measures'!$C$4:$D$4,0))</f>
        <v>4.9692135896475406E-2</v>
      </c>
    </row>
    <row r="76" spans="1:26" x14ac:dyDescent="0.3">
      <c r="A76" s="2" t="s">
        <v>124</v>
      </c>
      <c r="B76" s="2" t="s">
        <v>35</v>
      </c>
      <c r="C76" s="10">
        <v>1299</v>
      </c>
      <c r="D76" s="10">
        <v>135839</v>
      </c>
      <c r="E76" s="10">
        <v>6103</v>
      </c>
      <c r="F76" s="13">
        <v>22.257742094052109</v>
      </c>
      <c r="G76" s="15">
        <v>0.15781370284834489</v>
      </c>
      <c r="H76" s="13">
        <v>66.787451886066194</v>
      </c>
      <c r="I76" s="15">
        <v>0.49097829047622549</v>
      </c>
      <c r="J76" s="15">
        <v>2.459932435256534E-2</v>
      </c>
      <c r="K76" s="15">
        <v>0.79907621247113159</v>
      </c>
      <c r="L76" s="15">
        <v>0.96150885296381827</v>
      </c>
      <c r="M76" s="15">
        <v>0.74903772132409541</v>
      </c>
      <c r="N76" s="10">
        <v>6302</v>
      </c>
      <c r="O76" s="10">
        <v>939</v>
      </c>
      <c r="P76" s="10">
        <v>683</v>
      </c>
      <c r="Q76" s="16">
        <v>256</v>
      </c>
      <c r="R76" s="15">
        <v>0.1490003173595684</v>
      </c>
      <c r="S76" s="10">
        <v>433</v>
      </c>
      <c r="T76" s="10">
        <v>1018</v>
      </c>
      <c r="U76" s="10">
        <v>1825</v>
      </c>
      <c r="V76" s="14">
        <f>F76-INDEX('State measures'!$C$8:$D$8,MATCH(B76,'State measures'!$C$4:$D$4,0))</f>
        <v>3.3881823078500481</v>
      </c>
      <c r="W76" s="12">
        <f>G76-INDEX('State measures'!$C$9:$D$9,MATCH(B76,'State measures'!$C$4:$D$4,0))</f>
        <v>9.0570585872260051E-2</v>
      </c>
      <c r="X76" s="14">
        <f>H76-INDEX('State measures'!$C$10:$D$10,MATCH(B76,'State measures'!$C$4:$D$4,0))</f>
        <v>-12.976205370896892</v>
      </c>
      <c r="Y76" s="12">
        <f>I76-INDEX('State measures'!$C$11:$D$11,MATCH(B76,'State measures'!$C$4:$D$4,0))</f>
        <v>1.6482686153295401E-2</v>
      </c>
      <c r="Z76" s="12">
        <f>R76-INDEX('State measures'!$C$20:$D$20,MATCH(B76,'State measures'!$C$4:$D$4,0))</f>
        <v>3.8330174474552198E-2</v>
      </c>
    </row>
    <row r="77" spans="1:26" x14ac:dyDescent="0.3">
      <c r="A77" s="2" t="s">
        <v>125</v>
      </c>
      <c r="B77" s="2" t="s">
        <v>16</v>
      </c>
      <c r="C77" s="10">
        <v>1943</v>
      </c>
      <c r="D77" s="10">
        <v>287484</v>
      </c>
      <c r="E77" s="10">
        <v>15201</v>
      </c>
      <c r="F77" s="13">
        <v>18.91217683047168</v>
      </c>
      <c r="G77" s="15">
        <v>3.0365414307771489E-2</v>
      </c>
      <c r="H77" s="13">
        <v>77.663407102418944</v>
      </c>
      <c r="I77" s="15">
        <v>0.47044009405740839</v>
      </c>
      <c r="J77" s="15">
        <v>-1.3066363522603149E-2</v>
      </c>
      <c r="K77" s="15">
        <v>0.95007720020586717</v>
      </c>
      <c r="L77" s="15">
        <v>0.98558929490478642</v>
      </c>
      <c r="M77" s="15">
        <v>0.81523417395779718</v>
      </c>
      <c r="N77" s="10">
        <v>13430</v>
      </c>
      <c r="O77" s="10">
        <v>1281</v>
      </c>
      <c r="P77" s="10">
        <v>2979</v>
      </c>
      <c r="Q77" s="16">
        <v>-1698</v>
      </c>
      <c r="R77" s="15">
        <v>9.5383469843633661E-2</v>
      </c>
      <c r="S77" s="10">
        <v>454</v>
      </c>
      <c r="T77" s="10">
        <v>2804</v>
      </c>
      <c r="U77" s="10">
        <v>4102</v>
      </c>
      <c r="V77" s="14">
        <f>F77-INDEX('State measures'!$C$8:$D$8,MATCH(B77,'State measures'!$C$4:$D$4,0))</f>
        <v>-0.46654122513650975</v>
      </c>
      <c r="W77" s="12">
        <f>G77-INDEX('State measures'!$C$9:$D$9,MATCH(B77,'State measures'!$C$4:$D$4,0))</f>
        <v>-2.6413199112628044E-2</v>
      </c>
      <c r="X77" s="14">
        <f>H77-INDEX('State measures'!$C$10:$D$10,MATCH(B77,'State measures'!$C$4:$D$4,0))</f>
        <v>-1.7035071115789577</v>
      </c>
      <c r="Y77" s="12">
        <f>I77-INDEX('State measures'!$C$11:$D$11,MATCH(B77,'State measures'!$C$4:$D$4,0))</f>
        <v>-2.2064565152727367E-3</v>
      </c>
      <c r="Z77" s="12">
        <f>R77-INDEX('State measures'!$C$20:$D$20,MATCH(B77,'State measures'!$C$4:$D$4,0))</f>
        <v>-1.4723073089711644E-2</v>
      </c>
    </row>
    <row r="78" spans="1:26" x14ac:dyDescent="0.3">
      <c r="A78" s="2" t="s">
        <v>125</v>
      </c>
      <c r="B78" s="2" t="s">
        <v>35</v>
      </c>
      <c r="C78" s="10">
        <v>1935</v>
      </c>
      <c r="D78" s="10">
        <v>278780</v>
      </c>
      <c r="E78" s="10">
        <v>15144</v>
      </c>
      <c r="F78" s="13">
        <v>18.408610670892759</v>
      </c>
      <c r="G78" s="15">
        <v>3.7209302325581388E-2</v>
      </c>
      <c r="H78" s="13">
        <v>78.033695090439281</v>
      </c>
      <c r="I78" s="15">
        <v>0.47338761747614599</v>
      </c>
      <c r="J78" s="15">
        <v>-5.2542465295764562E-3</v>
      </c>
      <c r="K78" s="15">
        <v>0.94780361757105946</v>
      </c>
      <c r="L78" s="15">
        <v>0.9803617571059432</v>
      </c>
      <c r="M78" s="15">
        <v>0.81550387596899221</v>
      </c>
      <c r="N78" s="10">
        <v>13206</v>
      </c>
      <c r="O78" s="10">
        <v>1188</v>
      </c>
      <c r="P78" s="10">
        <v>3037</v>
      </c>
      <c r="Q78" s="16">
        <v>-1849</v>
      </c>
      <c r="R78" s="15">
        <v>8.9959109495683781E-2</v>
      </c>
      <c r="S78" s="10">
        <v>434</v>
      </c>
      <c r="T78" s="10">
        <v>2711</v>
      </c>
      <c r="U78" s="10">
        <v>4142</v>
      </c>
      <c r="V78" s="14">
        <f>F78-INDEX('State measures'!$C$8:$D$8,MATCH(B78,'State measures'!$C$4:$D$4,0))</f>
        <v>-0.46094911530930105</v>
      </c>
      <c r="W78" s="12">
        <f>G78-INDEX('State measures'!$C$9:$D$9,MATCH(B78,'State measures'!$C$4:$D$4,0))</f>
        <v>-3.0033814650503456E-2</v>
      </c>
      <c r="X78" s="14">
        <f>H78-INDEX('State measures'!$C$10:$D$10,MATCH(B78,'State measures'!$C$4:$D$4,0))</f>
        <v>-1.729962166523805</v>
      </c>
      <c r="Y78" s="12">
        <f>I78-INDEX('State measures'!$C$11:$D$11,MATCH(B78,'State measures'!$C$4:$D$4,0))</f>
        <v>-1.1079868467840925E-3</v>
      </c>
      <c r="Z78" s="12">
        <f>R78-INDEX('State measures'!$C$20:$D$20,MATCH(B78,'State measures'!$C$4:$D$4,0))</f>
        <v>-2.0711033389332417E-2</v>
      </c>
    </row>
    <row r="79" spans="1:26" x14ac:dyDescent="0.3">
      <c r="A79" s="2" t="s">
        <v>126</v>
      </c>
      <c r="B79" s="2" t="s">
        <v>16</v>
      </c>
      <c r="C79" s="10">
        <v>3466</v>
      </c>
      <c r="D79" s="10">
        <v>586361</v>
      </c>
      <c r="E79" s="10">
        <v>32366</v>
      </c>
      <c r="F79" s="13">
        <v>18.116572946919611</v>
      </c>
      <c r="G79" s="15">
        <v>3.0005770340450089E-2</v>
      </c>
      <c r="H79" s="13">
        <v>83.017166762839011</v>
      </c>
      <c r="I79" s="15">
        <v>0.44663100035643571</v>
      </c>
      <c r="J79" s="15">
        <v>-5.1759486591996529E-2</v>
      </c>
      <c r="K79" s="15">
        <v>0.96999422965954996</v>
      </c>
      <c r="L79" s="15">
        <v>0.99192152336987882</v>
      </c>
      <c r="M79" s="15">
        <v>0.88718984420080782</v>
      </c>
      <c r="N79" s="10">
        <v>28134</v>
      </c>
      <c r="O79" s="10">
        <v>3436</v>
      </c>
      <c r="P79" s="10">
        <v>7419</v>
      </c>
      <c r="Q79" s="16">
        <v>-3983</v>
      </c>
      <c r="R79" s="15">
        <v>0.1221298073505367</v>
      </c>
      <c r="S79" s="10">
        <v>737</v>
      </c>
      <c r="T79" s="10">
        <v>4492</v>
      </c>
      <c r="U79" s="10">
        <v>6369</v>
      </c>
      <c r="V79" s="14">
        <f>F79-INDEX('State measures'!$C$8:$D$8,MATCH(B79,'State measures'!$C$4:$D$4,0))</f>
        <v>-1.2621451086885784</v>
      </c>
      <c r="W79" s="12">
        <f>G79-INDEX('State measures'!$C$9:$D$9,MATCH(B79,'State measures'!$C$4:$D$4,0))</f>
        <v>-2.6772843079949444E-2</v>
      </c>
      <c r="X79" s="14">
        <f>H79-INDEX('State measures'!$C$10:$D$10,MATCH(B79,'State measures'!$C$4:$D$4,0))</f>
        <v>3.6502525488411095</v>
      </c>
      <c r="Y79" s="12">
        <f>I79-INDEX('State measures'!$C$11:$D$11,MATCH(B79,'State measures'!$C$4:$D$4,0))</f>
        <v>-2.6015550216245409E-2</v>
      </c>
      <c r="Z79" s="12">
        <f>R79-INDEX('State measures'!$C$20:$D$20,MATCH(B79,'State measures'!$C$4:$D$4,0))</f>
        <v>1.2023264417191398E-2</v>
      </c>
    </row>
    <row r="80" spans="1:26" x14ac:dyDescent="0.3">
      <c r="A80" s="2" t="s">
        <v>126</v>
      </c>
      <c r="B80" s="2" t="s">
        <v>35</v>
      </c>
      <c r="C80" s="10">
        <v>3475</v>
      </c>
      <c r="D80" s="10">
        <v>576393</v>
      </c>
      <c r="E80" s="10">
        <v>32623</v>
      </c>
      <c r="F80" s="13">
        <v>17.66830150507311</v>
      </c>
      <c r="G80" s="15">
        <v>2.992805755395684E-2</v>
      </c>
      <c r="H80" s="13">
        <v>83.948057553956829</v>
      </c>
      <c r="I80" s="15">
        <v>0.44675594602987889</v>
      </c>
      <c r="J80" s="15">
        <v>-5.376090859438315E-2</v>
      </c>
      <c r="K80" s="15">
        <v>0.9717985611510791</v>
      </c>
      <c r="L80" s="15">
        <v>0.99165467625899284</v>
      </c>
      <c r="M80" s="15">
        <v>0.89611510791366911</v>
      </c>
      <c r="N80" s="10">
        <v>28205</v>
      </c>
      <c r="O80" s="10">
        <v>3413</v>
      </c>
      <c r="P80" s="10">
        <v>7579</v>
      </c>
      <c r="Q80" s="16">
        <v>-4166</v>
      </c>
      <c r="R80" s="15">
        <v>0.1210069136677894</v>
      </c>
      <c r="S80" s="10">
        <v>700</v>
      </c>
      <c r="T80" s="10">
        <v>4281</v>
      </c>
      <c r="U80" s="10">
        <v>6569</v>
      </c>
      <c r="V80" s="14">
        <f>F80-INDEX('State measures'!$C$8:$D$8,MATCH(B80,'State measures'!$C$4:$D$4,0))</f>
        <v>-1.2012582811289505</v>
      </c>
      <c r="W80" s="12">
        <f>G80-INDEX('State measures'!$C$9:$D$9,MATCH(B80,'State measures'!$C$4:$D$4,0))</f>
        <v>-3.7315059422128004E-2</v>
      </c>
      <c r="X80" s="14">
        <f>H80-INDEX('State measures'!$C$10:$D$10,MATCH(B80,'State measures'!$C$4:$D$4,0))</f>
        <v>4.1844002969937435</v>
      </c>
      <c r="Y80" s="12">
        <f>I80-INDEX('State measures'!$C$11:$D$11,MATCH(B80,'State measures'!$C$4:$D$4,0))</f>
        <v>-2.7739658293051195E-2</v>
      </c>
      <c r="Z80" s="12">
        <f>R80-INDEX('State measures'!$C$20:$D$20,MATCH(B80,'State measures'!$C$4:$D$4,0))</f>
        <v>1.0336770782773202E-2</v>
      </c>
    </row>
    <row r="81" spans="1:26" x14ac:dyDescent="0.3">
      <c r="A81" s="2" t="s">
        <v>127</v>
      </c>
      <c r="B81" s="2" t="s">
        <v>16</v>
      </c>
      <c r="C81" s="10">
        <v>1388</v>
      </c>
      <c r="D81" s="10">
        <v>227277</v>
      </c>
      <c r="E81" s="10">
        <v>10210</v>
      </c>
      <c r="F81" s="13">
        <v>22.260235063663071</v>
      </c>
      <c r="G81" s="15">
        <v>7.1325648414985593E-2</v>
      </c>
      <c r="H81" s="13">
        <v>78.422190201729109</v>
      </c>
      <c r="I81" s="15">
        <v>0.46241810653959697</v>
      </c>
      <c r="J81" s="15">
        <v>-2.67350128519615E-2</v>
      </c>
      <c r="K81" s="15">
        <v>0.9056195965417867</v>
      </c>
      <c r="L81" s="15">
        <v>0.98703170028818443</v>
      </c>
      <c r="M81" s="15">
        <v>0.85806916426512969</v>
      </c>
      <c r="N81" s="10">
        <v>9495</v>
      </c>
      <c r="O81" s="10">
        <v>1046</v>
      </c>
      <c r="P81" s="10">
        <v>1632</v>
      </c>
      <c r="Q81" s="16">
        <v>-586</v>
      </c>
      <c r="R81" s="15">
        <v>0.1101632438125329</v>
      </c>
      <c r="S81" s="10">
        <v>412</v>
      </c>
      <c r="T81" s="10">
        <v>1597</v>
      </c>
      <c r="U81" s="10">
        <v>2253</v>
      </c>
      <c r="V81" s="14">
        <f>F81-INDEX('State measures'!$C$8:$D$8,MATCH(B81,'State measures'!$C$4:$D$4,0))</f>
        <v>2.8815170080548818</v>
      </c>
      <c r="W81" s="12">
        <f>G81-INDEX('State measures'!$C$9:$D$9,MATCH(B81,'State measures'!$C$4:$D$4,0))</f>
        <v>1.454703499458606E-2</v>
      </c>
      <c r="X81" s="14">
        <f>H81-INDEX('State measures'!$C$10:$D$10,MATCH(B81,'State measures'!$C$4:$D$4,0))</f>
        <v>-0.94472401226879299</v>
      </c>
      <c r="Y81" s="12">
        <f>I81-INDEX('State measures'!$C$11:$D$11,MATCH(B81,'State measures'!$C$4:$D$4,0))</f>
        <v>-1.022844403308415E-2</v>
      </c>
      <c r="Z81" s="12">
        <f>R81-INDEX('State measures'!$C$20:$D$20,MATCH(B81,'State measures'!$C$4:$D$4,0))</f>
        <v>5.6700879187590592E-5</v>
      </c>
    </row>
    <row r="82" spans="1:26" x14ac:dyDescent="0.3">
      <c r="A82" s="2" t="s">
        <v>127</v>
      </c>
      <c r="B82" s="2" t="s">
        <v>35</v>
      </c>
      <c r="C82" s="10">
        <v>1388</v>
      </c>
      <c r="D82" s="10">
        <v>224247</v>
      </c>
      <c r="E82" s="10">
        <v>10125</v>
      </c>
      <c r="F82" s="13">
        <v>22.147851851851851</v>
      </c>
      <c r="G82" s="15">
        <v>8.7175792507204614E-2</v>
      </c>
      <c r="H82" s="13">
        <v>78.883789625360222</v>
      </c>
      <c r="I82" s="15">
        <v>0.46417566344254318</v>
      </c>
      <c r="J82" s="15">
        <v>-1.4931817251181371E-2</v>
      </c>
      <c r="K82" s="15">
        <v>0.90489913544668588</v>
      </c>
      <c r="L82" s="15">
        <v>0.98270893371757928</v>
      </c>
      <c r="M82" s="15">
        <v>0.85014409221902021</v>
      </c>
      <c r="N82" s="10">
        <v>9482</v>
      </c>
      <c r="O82" s="10">
        <v>1091</v>
      </c>
      <c r="P82" s="10">
        <v>1592</v>
      </c>
      <c r="Q82" s="16">
        <v>-501</v>
      </c>
      <c r="R82" s="15">
        <v>0.1150601139000211</v>
      </c>
      <c r="S82" s="10">
        <v>454</v>
      </c>
      <c r="T82" s="10">
        <v>1526</v>
      </c>
      <c r="U82" s="10">
        <v>2255</v>
      </c>
      <c r="V82" s="14">
        <f>F82-INDEX('State measures'!$C$8:$D$8,MATCH(B82,'State measures'!$C$4:$D$4,0))</f>
        <v>3.27829206564979</v>
      </c>
      <c r="W82" s="12">
        <f>G82-INDEX('State measures'!$C$9:$D$9,MATCH(B82,'State measures'!$C$4:$D$4,0))</f>
        <v>1.993267553111977E-2</v>
      </c>
      <c r="X82" s="14">
        <f>H82-INDEX('State measures'!$C$10:$D$10,MATCH(B82,'State measures'!$C$4:$D$4,0))</f>
        <v>-0.8798676316028633</v>
      </c>
      <c r="Y82" s="12">
        <f>I82-INDEX('State measures'!$C$11:$D$11,MATCH(B82,'State measures'!$C$4:$D$4,0))</f>
        <v>-1.0319940880386902E-2</v>
      </c>
      <c r="Z82" s="12">
        <f>R82-INDEX('State measures'!$C$20:$D$20,MATCH(B82,'State measures'!$C$4:$D$4,0))</f>
        <v>4.3899710150049065E-3</v>
      </c>
    </row>
    <row r="83" spans="1:26" x14ac:dyDescent="0.3">
      <c r="A83" s="2" t="s">
        <v>128</v>
      </c>
      <c r="B83" s="2" t="s">
        <v>16</v>
      </c>
      <c r="C83" s="10">
        <v>2458</v>
      </c>
      <c r="D83" s="10">
        <v>275126</v>
      </c>
      <c r="E83" s="10">
        <v>17187</v>
      </c>
      <c r="F83" s="13">
        <v>16.007796590446269</v>
      </c>
      <c r="G83" s="15">
        <v>4.3938161106590733E-2</v>
      </c>
      <c r="H83" s="13">
        <v>78.458096013018718</v>
      </c>
      <c r="I83" s="15">
        <v>0.48195735771973569</v>
      </c>
      <c r="J83" s="15">
        <v>7.2613393677649074E-3</v>
      </c>
      <c r="K83" s="15">
        <v>0.96867371847030104</v>
      </c>
      <c r="L83" s="15">
        <v>0.99511798209926772</v>
      </c>
      <c r="M83" s="15">
        <v>0.9153783563873068</v>
      </c>
      <c r="N83" s="10">
        <v>14429</v>
      </c>
      <c r="O83" s="10">
        <v>911</v>
      </c>
      <c r="P83" s="10">
        <v>3609</v>
      </c>
      <c r="Q83" s="16">
        <v>-2698</v>
      </c>
      <c r="R83" s="15">
        <v>6.313673851271745E-2</v>
      </c>
      <c r="S83" s="10">
        <v>401</v>
      </c>
      <c r="T83" s="10">
        <v>3306</v>
      </c>
      <c r="U83" s="10">
        <v>4987</v>
      </c>
      <c r="V83" s="14">
        <f>F83-INDEX('State measures'!$C$8:$D$8,MATCH(B83,'State measures'!$C$4:$D$4,0))</f>
        <v>-3.3709214651619206</v>
      </c>
      <c r="W83" s="12">
        <f>G83-INDEX('State measures'!$C$9:$D$9,MATCH(B83,'State measures'!$C$4:$D$4,0))</f>
        <v>-1.2840452313808801E-2</v>
      </c>
      <c r="X83" s="14">
        <f>H83-INDEX('State measures'!$C$10:$D$10,MATCH(B83,'State measures'!$C$4:$D$4,0))</f>
        <v>-0.90881820097918364</v>
      </c>
      <c r="Y83" s="12">
        <f>I83-INDEX('State measures'!$C$11:$D$11,MATCH(B83,'State measures'!$C$4:$D$4,0))</f>
        <v>9.3108071470545672E-3</v>
      </c>
      <c r="Z83" s="12">
        <f>R83-INDEX('State measures'!$C$20:$D$20,MATCH(B83,'State measures'!$C$4:$D$4,0))</f>
        <v>-4.6969804420627856E-2</v>
      </c>
    </row>
    <row r="84" spans="1:26" x14ac:dyDescent="0.3">
      <c r="A84" s="2" t="s">
        <v>128</v>
      </c>
      <c r="B84" s="2" t="s">
        <v>35</v>
      </c>
      <c r="C84" s="10">
        <v>2448</v>
      </c>
      <c r="D84" s="10">
        <v>269656</v>
      </c>
      <c r="E84" s="10">
        <v>17341</v>
      </c>
      <c r="F84" s="13">
        <v>15.550198950464219</v>
      </c>
      <c r="G84" s="15">
        <v>5.1879084967320258E-2</v>
      </c>
      <c r="H84" s="13">
        <v>78.583741830065364</v>
      </c>
      <c r="I84" s="15">
        <v>0.48986486486486491</v>
      </c>
      <c r="J84" s="15">
        <v>2.5673271660125618E-2</v>
      </c>
      <c r="K84" s="15">
        <v>0.9673202614379085</v>
      </c>
      <c r="L84" s="15">
        <v>0.99346405228758172</v>
      </c>
      <c r="M84" s="15">
        <v>0.89174836601307195</v>
      </c>
      <c r="N84" s="10">
        <v>14442</v>
      </c>
      <c r="O84" s="10">
        <v>940</v>
      </c>
      <c r="P84" s="10">
        <v>3766</v>
      </c>
      <c r="Q84" s="16">
        <v>-2826</v>
      </c>
      <c r="R84" s="15">
        <v>6.5087937958731482E-2</v>
      </c>
      <c r="S84" s="10">
        <v>413</v>
      </c>
      <c r="T84" s="10">
        <v>3283</v>
      </c>
      <c r="U84" s="10">
        <v>5523</v>
      </c>
      <c r="V84" s="14">
        <f>F84-INDEX('State measures'!$C$8:$D$8,MATCH(B84,'State measures'!$C$4:$D$4,0))</f>
        <v>-3.3193608357378412</v>
      </c>
      <c r="W84" s="12">
        <f>G84-INDEX('State measures'!$C$9:$D$9,MATCH(B84,'State measures'!$C$4:$D$4,0))</f>
        <v>-1.5364032008764586E-2</v>
      </c>
      <c r="X84" s="14">
        <f>H84-INDEX('State measures'!$C$10:$D$10,MATCH(B84,'State measures'!$C$4:$D$4,0))</f>
        <v>-1.1799154268977219</v>
      </c>
      <c r="Y84" s="12">
        <f>I84-INDEX('State measures'!$C$11:$D$11,MATCH(B84,'State measures'!$C$4:$D$4,0))</f>
        <v>1.5369260541934826E-2</v>
      </c>
      <c r="Z84" s="12">
        <f>R84-INDEX('State measures'!$C$20:$D$20,MATCH(B84,'State measures'!$C$4:$D$4,0))</f>
        <v>-4.5582204926284717E-2</v>
      </c>
    </row>
    <row r="85" spans="1:26" x14ac:dyDescent="0.3">
      <c r="A85" s="2" t="s">
        <v>129</v>
      </c>
      <c r="B85" s="2" t="s">
        <v>16</v>
      </c>
      <c r="C85" s="10">
        <v>4114</v>
      </c>
      <c r="D85" s="10">
        <v>541347</v>
      </c>
      <c r="E85" s="10">
        <v>27705</v>
      </c>
      <c r="F85" s="13">
        <v>19.539685977260419</v>
      </c>
      <c r="G85" s="15">
        <v>9.0179873602333496E-2</v>
      </c>
      <c r="H85" s="13">
        <v>72.386971317452605</v>
      </c>
      <c r="I85" s="15">
        <v>0.47902362070908311</v>
      </c>
      <c r="J85" s="15">
        <v>1.322546658444174E-2</v>
      </c>
      <c r="K85" s="15">
        <v>0.79630529897909574</v>
      </c>
      <c r="L85" s="15">
        <v>0.9708313077297035</v>
      </c>
      <c r="M85" s="15">
        <v>0.87530384054448229</v>
      </c>
      <c r="N85" s="10">
        <v>23723</v>
      </c>
      <c r="O85" s="10">
        <v>2360</v>
      </c>
      <c r="P85" s="10">
        <v>5830</v>
      </c>
      <c r="Q85" s="16">
        <v>-3470</v>
      </c>
      <c r="R85" s="15">
        <v>9.9481515828520842E-2</v>
      </c>
      <c r="S85" s="10">
        <v>974</v>
      </c>
      <c r="T85" s="10">
        <v>6163</v>
      </c>
      <c r="U85" s="10">
        <v>8691</v>
      </c>
      <c r="V85" s="14">
        <f>F85-INDEX('State measures'!$C$8:$D$8,MATCH(B85,'State measures'!$C$4:$D$4,0))</f>
        <v>0.16096792165222951</v>
      </c>
      <c r="W85" s="12">
        <f>G85-INDEX('State measures'!$C$9:$D$9,MATCH(B85,'State measures'!$C$4:$D$4,0))</f>
        <v>3.3401260181933963E-2</v>
      </c>
      <c r="X85" s="14">
        <f>H85-INDEX('State measures'!$C$10:$D$10,MATCH(B85,'State measures'!$C$4:$D$4,0))</f>
        <v>-6.9799428965452961</v>
      </c>
      <c r="Y85" s="12">
        <f>I85-INDEX('State measures'!$C$11:$D$11,MATCH(B85,'State measures'!$C$4:$D$4,0))</f>
        <v>6.3770701364019855E-3</v>
      </c>
      <c r="Z85" s="12">
        <f>R85-INDEX('State measures'!$C$20:$D$20,MATCH(B85,'State measures'!$C$4:$D$4,0))</f>
        <v>-1.0625027104824464E-2</v>
      </c>
    </row>
    <row r="86" spans="1:26" x14ac:dyDescent="0.3">
      <c r="A86" s="2" t="s">
        <v>129</v>
      </c>
      <c r="B86" s="2" t="s">
        <v>35</v>
      </c>
      <c r="C86" s="10">
        <v>4113</v>
      </c>
      <c r="D86" s="10">
        <v>533332</v>
      </c>
      <c r="E86" s="10">
        <v>27429</v>
      </c>
      <c r="F86" s="13">
        <v>19.44409201939553</v>
      </c>
      <c r="G86" s="15">
        <v>0.10478969122295161</v>
      </c>
      <c r="H86" s="13">
        <v>72.141064916119646</v>
      </c>
      <c r="I86" s="15">
        <v>0.4797330743326858</v>
      </c>
      <c r="J86" s="15">
        <v>1.6089045052927579E-2</v>
      </c>
      <c r="K86" s="15">
        <v>0.79747143204473625</v>
      </c>
      <c r="L86" s="15">
        <v>0.96377340141016288</v>
      </c>
      <c r="M86" s="15">
        <v>0.84536834427425234</v>
      </c>
      <c r="N86" s="10">
        <v>23729</v>
      </c>
      <c r="O86" s="10">
        <v>2459</v>
      </c>
      <c r="P86" s="10">
        <v>5602</v>
      </c>
      <c r="Q86" s="16">
        <v>-3143</v>
      </c>
      <c r="R86" s="15">
        <v>0.1036284714905811</v>
      </c>
      <c r="S86" s="10">
        <v>1047</v>
      </c>
      <c r="T86" s="10">
        <v>5766</v>
      </c>
      <c r="U86" s="10">
        <v>8741</v>
      </c>
      <c r="V86" s="14">
        <f>F86-INDEX('State measures'!$C$8:$D$8,MATCH(B86,'State measures'!$C$4:$D$4,0))</f>
        <v>0.57453223319346947</v>
      </c>
      <c r="W86" s="12">
        <f>G86-INDEX('State measures'!$C$9:$D$9,MATCH(B86,'State measures'!$C$4:$D$4,0))</f>
        <v>3.7546574246866762E-2</v>
      </c>
      <c r="X86" s="14">
        <f>H86-INDEX('State measures'!$C$10:$D$10,MATCH(B86,'State measures'!$C$4:$D$4,0))</f>
        <v>-7.6225923408434397</v>
      </c>
      <c r="Y86" s="12">
        <f>I86-INDEX('State measures'!$C$11:$D$11,MATCH(B86,'State measures'!$C$4:$D$4,0))</f>
        <v>5.2374700097557181E-3</v>
      </c>
      <c r="Z86" s="12">
        <f>R86-INDEX('State measures'!$C$20:$D$20,MATCH(B86,'State measures'!$C$4:$D$4,0))</f>
        <v>-7.041671394435095E-3</v>
      </c>
    </row>
  </sheetData>
  <autoFilter ref="A4:Z8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/>
  </sheetViews>
  <sheetFormatPr defaultRowHeight="14.4" x14ac:dyDescent="0.3"/>
  <cols>
    <col min="1" max="1" width="62" customWidth="1"/>
    <col min="2" max="2" width="9" customWidth="1"/>
    <col min="3" max="3" width="90" customWidth="1"/>
  </cols>
  <sheetData>
    <row r="1" spans="1:3" ht="17.399999999999999" x14ac:dyDescent="0.3">
      <c r="A1" s="1" t="s">
        <v>130</v>
      </c>
      <c r="B1" s="2"/>
      <c r="C1" s="2"/>
    </row>
    <row r="2" spans="1:3" x14ac:dyDescent="0.3">
      <c r="A2" s="3" t="s">
        <v>131</v>
      </c>
      <c r="B2" s="2"/>
      <c r="C2" s="2"/>
    </row>
    <row r="3" spans="1:3" x14ac:dyDescent="0.3">
      <c r="A3" s="2"/>
      <c r="B3" s="2"/>
      <c r="C3" s="2"/>
    </row>
    <row r="4" spans="1:3" x14ac:dyDescent="0.3">
      <c r="A4" s="5" t="s">
        <v>132</v>
      </c>
      <c r="B4" s="5" t="s">
        <v>15</v>
      </c>
      <c r="C4" s="5" t="s">
        <v>133</v>
      </c>
    </row>
    <row r="5" spans="1:3" x14ac:dyDescent="0.3">
      <c r="A5" s="2" t="s">
        <v>134</v>
      </c>
      <c r="B5" s="17" t="s">
        <v>135</v>
      </c>
      <c r="C5" s="2" t="s">
        <v>136</v>
      </c>
    </row>
    <row r="6" spans="1:3" x14ac:dyDescent="0.3">
      <c r="A6" s="2" t="s">
        <v>137</v>
      </c>
      <c r="B6" s="17" t="s">
        <v>135</v>
      </c>
      <c r="C6" s="2" t="s">
        <v>138</v>
      </c>
    </row>
    <row r="7" spans="1:3" x14ac:dyDescent="0.3">
      <c r="A7" s="2" t="s">
        <v>139</v>
      </c>
      <c r="B7" s="17" t="s">
        <v>135</v>
      </c>
      <c r="C7" s="2" t="s">
        <v>140</v>
      </c>
    </row>
    <row r="8" spans="1:3" x14ac:dyDescent="0.3">
      <c r="A8" s="2" t="s">
        <v>141</v>
      </c>
      <c r="B8" s="17" t="s">
        <v>135</v>
      </c>
      <c r="C8" s="2" t="s">
        <v>142</v>
      </c>
    </row>
    <row r="9" spans="1:3" x14ac:dyDescent="0.3">
      <c r="A9" s="2" t="s">
        <v>143</v>
      </c>
      <c r="B9" s="17" t="s">
        <v>135</v>
      </c>
      <c r="C9" s="2" t="s">
        <v>144</v>
      </c>
    </row>
    <row r="10" spans="1:3" x14ac:dyDescent="0.3">
      <c r="A10" s="2" t="s">
        <v>145</v>
      </c>
      <c r="B10" s="17" t="s">
        <v>135</v>
      </c>
      <c r="C10" s="2" t="s">
        <v>146</v>
      </c>
    </row>
    <row r="11" spans="1:3" x14ac:dyDescent="0.3">
      <c r="A11" s="2" t="s">
        <v>147</v>
      </c>
      <c r="B11" s="17" t="s">
        <v>135</v>
      </c>
      <c r="C11" s="2" t="s">
        <v>148</v>
      </c>
    </row>
    <row r="12" spans="1:3" x14ac:dyDescent="0.3">
      <c r="A12" s="2" t="s">
        <v>149</v>
      </c>
      <c r="B12" s="17" t="s">
        <v>135</v>
      </c>
      <c r="C12" s="2" t="s">
        <v>150</v>
      </c>
    </row>
    <row r="13" spans="1:3" x14ac:dyDescent="0.3">
      <c r="A13" s="2" t="s">
        <v>151</v>
      </c>
      <c r="B13" s="17" t="s">
        <v>135</v>
      </c>
      <c r="C13" s="2" t="s">
        <v>152</v>
      </c>
    </row>
    <row r="14" spans="1:3" x14ac:dyDescent="0.3">
      <c r="A14" s="2" t="s">
        <v>153</v>
      </c>
      <c r="B14" s="17" t="s">
        <v>135</v>
      </c>
      <c r="C14" s="2" t="s">
        <v>152</v>
      </c>
    </row>
    <row r="15" spans="1:3" x14ac:dyDescent="0.3">
      <c r="A15" s="2" t="s">
        <v>154</v>
      </c>
      <c r="B15" s="17" t="s">
        <v>135</v>
      </c>
      <c r="C15" s="2" t="s">
        <v>152</v>
      </c>
    </row>
    <row r="16" spans="1:3" x14ac:dyDescent="0.3">
      <c r="A16" s="2" t="s">
        <v>155</v>
      </c>
      <c r="B16" s="17" t="s">
        <v>135</v>
      </c>
      <c r="C16" s="2" t="s">
        <v>156</v>
      </c>
    </row>
    <row r="17" spans="1:3" x14ac:dyDescent="0.3">
      <c r="A17" s="2" t="s">
        <v>157</v>
      </c>
      <c r="B17" s="17" t="s">
        <v>135</v>
      </c>
      <c r="C17" s="2" t="s">
        <v>158</v>
      </c>
    </row>
    <row r="18" spans="1:3" x14ac:dyDescent="0.3">
      <c r="A18" s="2" t="s">
        <v>159</v>
      </c>
      <c r="B18" s="17" t="s">
        <v>135</v>
      </c>
      <c r="C18" s="2" t="s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workbookViewId="0"/>
  </sheetViews>
  <sheetFormatPr defaultRowHeight="14.4" x14ac:dyDescent="0.3"/>
  <cols>
    <col min="1" max="1" width="30" customWidth="1"/>
    <col min="2" max="2" width="120" customWidth="1"/>
  </cols>
  <sheetData>
    <row r="1" spans="1:2" ht="17.399999999999999" x14ac:dyDescent="0.3">
      <c r="A1" s="1" t="s">
        <v>161</v>
      </c>
      <c r="B1" s="2"/>
    </row>
    <row r="2" spans="1:2" x14ac:dyDescent="0.3">
      <c r="A2" s="3" t="s">
        <v>1</v>
      </c>
      <c r="B2" s="2"/>
    </row>
    <row r="3" spans="1:2" x14ac:dyDescent="0.3">
      <c r="A3" s="2"/>
      <c r="B3" s="2"/>
    </row>
    <row r="4" spans="1:2" x14ac:dyDescent="0.3">
      <c r="A4" s="4" t="s">
        <v>162</v>
      </c>
      <c r="B4" s="18" t="s">
        <v>163</v>
      </c>
    </row>
    <row r="5" spans="1:2" x14ac:dyDescent="0.3">
      <c r="A5" s="4" t="s">
        <v>164</v>
      </c>
      <c r="B5" s="18" t="s">
        <v>165</v>
      </c>
    </row>
    <row r="6" spans="1:2" x14ac:dyDescent="0.3">
      <c r="A6" s="4" t="s">
        <v>166</v>
      </c>
      <c r="B6" s="18" t="s">
        <v>167</v>
      </c>
    </row>
    <row r="7" spans="1:2" x14ac:dyDescent="0.3">
      <c r="A7" s="4"/>
      <c r="B7" s="18"/>
    </row>
    <row r="8" spans="1:2" ht="27.6" x14ac:dyDescent="0.3">
      <c r="A8" s="4" t="s">
        <v>9</v>
      </c>
      <c r="B8" s="18" t="s">
        <v>168</v>
      </c>
    </row>
    <row r="9" spans="1:2" x14ac:dyDescent="0.3">
      <c r="A9" s="4" t="s">
        <v>10</v>
      </c>
      <c r="B9" s="18" t="s">
        <v>169</v>
      </c>
    </row>
    <row r="10" spans="1:2" ht="27.6" x14ac:dyDescent="0.3">
      <c r="A10" s="4" t="s">
        <v>11</v>
      </c>
      <c r="B10" s="18" t="s">
        <v>170</v>
      </c>
    </row>
    <row r="11" spans="1:2" x14ac:dyDescent="0.3">
      <c r="A11" s="4" t="s">
        <v>171</v>
      </c>
      <c r="B11" s="18" t="s">
        <v>172</v>
      </c>
    </row>
    <row r="12" spans="1:2" x14ac:dyDescent="0.3">
      <c r="A12" s="4" t="s">
        <v>173</v>
      </c>
      <c r="B12" s="18" t="s">
        <v>174</v>
      </c>
    </row>
    <row r="13" spans="1:2" x14ac:dyDescent="0.3">
      <c r="A13" s="4"/>
      <c r="B13" s="18"/>
    </row>
    <row r="14" spans="1:2" ht="41.4" x14ac:dyDescent="0.3">
      <c r="A14" s="4" t="s">
        <v>175</v>
      </c>
      <c r="B14" s="18" t="s">
        <v>176</v>
      </c>
    </row>
    <row r="15" spans="1:2" ht="27.6" x14ac:dyDescent="0.3">
      <c r="A15" s="4" t="s">
        <v>177</v>
      </c>
      <c r="B15" s="18" t="s">
        <v>178</v>
      </c>
    </row>
    <row r="16" spans="1:2" ht="27.6" x14ac:dyDescent="0.3">
      <c r="A16" s="4" t="s">
        <v>179</v>
      </c>
      <c r="B16" s="18" t="s">
        <v>180</v>
      </c>
    </row>
    <row r="17" spans="1:2" ht="27.6" x14ac:dyDescent="0.3">
      <c r="A17" s="4" t="s">
        <v>181</v>
      </c>
      <c r="B17" s="18" t="s">
        <v>182</v>
      </c>
    </row>
    <row r="18" spans="1:2" ht="27.6" x14ac:dyDescent="0.3">
      <c r="A18" s="4" t="s">
        <v>183</v>
      </c>
      <c r="B18" s="18" t="s">
        <v>184</v>
      </c>
    </row>
    <row r="19" spans="1:2" x14ac:dyDescent="0.3">
      <c r="A19" s="4" t="s">
        <v>185</v>
      </c>
      <c r="B19" s="18" t="s">
        <v>186</v>
      </c>
    </row>
    <row r="20" spans="1:2" ht="27.6" x14ac:dyDescent="0.3">
      <c r="A20" s="4" t="s">
        <v>187</v>
      </c>
      <c r="B20" s="18" t="s">
        <v>188</v>
      </c>
    </row>
    <row r="21" spans="1:2" ht="27.6" x14ac:dyDescent="0.3">
      <c r="A21" s="4" t="s">
        <v>189</v>
      </c>
      <c r="B21" s="18" t="s">
        <v>190</v>
      </c>
    </row>
    <row r="22" spans="1:2" ht="27.6" x14ac:dyDescent="0.3">
      <c r="A22" s="4" t="s">
        <v>191</v>
      </c>
      <c r="B22" s="18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Reconciliation</vt:lpstr>
      <vt:lpstr>State measures</vt:lpstr>
      <vt:lpstr>District measures</vt:lpstr>
      <vt:lpstr>Checks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ADITYA_CHAUHAN_ IIIT_KOTA</cp:lastModifiedBy>
  <dcterms:created xsi:type="dcterms:W3CDTF">2026-10-26T09:12:53Z</dcterms:created>
  <dcterms:modified xsi:type="dcterms:W3CDTF">2026-10-26T09:12:57Z</dcterms:modified>
</cp:coreProperties>
</file>